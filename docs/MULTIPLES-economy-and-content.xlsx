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tants" sheetId="1" state="visible" r:id="rId1"/>
    <sheet name="Formulas" sheetId="2" state="visible" r:id="rId2"/>
    <sheet name="Sectors" sheetId="3" state="visible" r:id="rId3"/>
    <sheet name="TierBars" sheetId="4" state="visible" r:id="rId4"/>
    <sheet name="Curves" sheetId="5" state="visible" r:id="rId5"/>
    <sheet name="Plays" sheetId="6" state="visible" r:id="rId6"/>
    <sheet name="TuningKnobs" sheetId="7" state="visible" r:id="rId7"/>
    <sheet name="Cards" sheetId="8" state="visible" r:id="rId8"/>
    <sheet name="SimCheck" sheetId="9" state="visible" r:id="rId9"/>
    <sheet name="Model" sheetId="10" state="visible" r:id="rId10"/>
  </sheets>
  <definedNames/>
  <calcPr calcId="124519" fullCalcOnLoad="1"/>
</workbook>
</file>

<file path=xl/styles.xml><?xml version="1.0" encoding="utf-8"?>
<styleSheet xmlns="http://schemas.openxmlformats.org/spreadsheetml/2006/main">
  <numFmts count="3">
    <numFmt numFmtId="164" formatCode="0.0&quot;x&quot;"/>
    <numFmt numFmtId="165" formatCode="$#,##0"/>
    <numFmt numFmtId="166" formatCode="0.0%"/>
  </numFmts>
  <fonts count="8">
    <font>
      <name val="Calibri"/>
      <family val="2"/>
      <color theme="1"/>
      <sz val="11"/>
      <scheme val="minor"/>
    </font>
    <font>
      <name val="Arial"/>
      <b val="1"/>
      <sz val="14"/>
    </font>
    <font>
      <name val="Arial"/>
      <i val="1"/>
      <color rgb="00808080"/>
      <sz val="9"/>
    </font>
    <font>
      <name val="Arial"/>
      <b val="1"/>
      <color rgb="00FFFFFF"/>
    </font>
    <font>
      <name val="Arial"/>
      <color rgb="00000000"/>
    </font>
    <font>
      <name val="Arial"/>
      <color rgb="000000FF"/>
    </font>
    <font>
      <name val="Arial"/>
      <b val="1"/>
    </font>
    <font>
      <name val="Arial"/>
      <color rgb="00008000"/>
    </font>
  </fonts>
  <fills count="5">
    <fill>
      <patternFill/>
    </fill>
    <fill>
      <patternFill patternType="gray125"/>
    </fill>
    <fill>
      <patternFill patternType="solid">
        <fgColor rgb="00305496"/>
      </patternFill>
    </fill>
    <fill>
      <patternFill patternType="solid">
        <fgColor rgb="00FFFDE7"/>
      </patternFill>
    </fill>
    <fill>
      <patternFill patternType="solid">
        <fgColor rgb="00E2EFD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xf>
    <xf numFmtId="0" fontId="4" fillId="0" borderId="0" pivotButton="0" quotePrefix="0" xfId="0"/>
    <xf numFmtId="0" fontId="5" fillId="3" borderId="0" pivotButton="0" quotePrefix="0" xfId="0"/>
    <xf numFmtId="0" fontId="5" fillId="0" borderId="0" pivotButton="0" quotePrefix="0" xfId="0"/>
    <xf numFmtId="164" fontId="4" fillId="0" borderId="0" pivotButton="0" quotePrefix="0" xfId="0"/>
    <xf numFmtId="165" fontId="4" fillId="0" borderId="0" pivotButton="0" quotePrefix="0" xfId="0"/>
    <xf numFmtId="166" fontId="5" fillId="0" borderId="0" pivotButton="0" quotePrefix="0" xfId="0"/>
    <xf numFmtId="0" fontId="6" fillId="0" borderId="0" pivotButton="0" quotePrefix="0" xfId="0"/>
    <xf numFmtId="9" fontId="4" fillId="0" borderId="0" pivotButton="0" quotePrefix="0" xfId="0"/>
    <xf numFmtId="0" fontId="4" fillId="4" borderId="0" applyAlignment="1" pivotButton="0" quotePrefix="0" xfId="0">
      <alignment horizontal="center"/>
    </xf>
    <xf numFmtId="166" fontId="4" fillId="0" borderId="0" pivotButton="0" quotePrefix="0" xfId="0"/>
    <xf numFmtId="165"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6" customWidth="1" min="1" max="1"/>
    <col width="16" customWidth="1" min="2" max="2"/>
    <col width="80" customWidth="1" min="3" max="3"/>
  </cols>
  <sheetData>
    <row r="1">
      <c r="A1" s="1" t="inlineStr">
        <is>
          <t>MULTIPLE — Constants (Layer-2 inputs)</t>
        </is>
      </c>
    </row>
    <row r="2">
      <c r="A2" s="2" t="inlineStr">
        <is>
          <t>Money: integer cents | Multiple: milli-units x1000 | Ownership: basis points x10000</t>
        </is>
      </c>
    </row>
    <row r="4">
      <c r="A4" s="3" t="inlineStr">
        <is>
          <t>Constant</t>
        </is>
      </c>
      <c r="B4" s="3" t="inlineStr">
        <is>
          <t>Value</t>
        </is>
      </c>
      <c r="C4" s="3" t="inlineStr">
        <is>
          <t>Note</t>
        </is>
      </c>
    </row>
    <row r="5">
      <c r="A5" s="4" t="inlineStr">
        <is>
          <t>startCash</t>
        </is>
      </c>
      <c r="B5" s="5" t="n">
        <v>2000000</v>
      </c>
      <c r="C5" s="2" t="inlineStr"/>
    </row>
    <row r="6">
      <c r="A6" s="4" t="inlineStr">
        <is>
          <t>startEbitda</t>
        </is>
      </c>
      <c r="B6" s="5" t="n">
        <v>600000</v>
      </c>
      <c r="C6" s="2" t="inlineStr"/>
    </row>
    <row r="7">
      <c r="A7" s="4" t="inlineStr">
        <is>
          <t>startSector</t>
        </is>
      </c>
      <c r="B7" s="5" t="inlineStr">
        <is>
          <t>SOFTWARE</t>
        </is>
      </c>
      <c r="C7" s="2" t="inlineStr"/>
    </row>
    <row r="8">
      <c r="A8" s="4" t="inlineStr">
        <is>
          <t>startMultiple</t>
        </is>
      </c>
      <c r="B8" s="5" t="n">
        <v>6000</v>
      </c>
      <c r="C8" s="2" t="inlineStr"/>
    </row>
    <row r="9">
      <c r="A9" s="4" t="inlineStr">
        <is>
          <t>startOwnership</t>
        </is>
      </c>
      <c r="B9" s="5" t="n">
        <v>10000</v>
      </c>
      <c r="C9" s="2" t="inlineStr"/>
    </row>
    <row r="10">
      <c r="A10" s="4" t="inlineStr">
        <is>
          <t>startNetDebt</t>
        </is>
      </c>
      <c r="B10" s="5" t="n">
        <v>0</v>
      </c>
      <c r="C10" s="2" t="inlineStr"/>
    </row>
    <row r="11">
      <c r="A11" s="4" t="inlineStr">
        <is>
          <t>cashYield</t>
        </is>
      </c>
      <c r="B11" s="5" t="n">
        <v>0.35</v>
      </c>
      <c r="C11" s="2" t="inlineStr"/>
    </row>
    <row r="12">
      <c r="A12" s="4" t="inlineStr">
        <is>
          <t>organicGrowthDefault</t>
        </is>
      </c>
      <c r="B12" s="5" t="n">
        <v>0.1</v>
      </c>
      <c r="C12" s="2" t="inlineStr"/>
    </row>
    <row r="13">
      <c r="A13" s="4" t="inlineStr">
        <is>
          <t>carrySeedFrac</t>
        </is>
      </c>
      <c r="B13" s="5" t="n">
        <v>0.24</v>
      </c>
      <c r="C13" s="2" t="inlineStr"/>
    </row>
    <row r="14">
      <c r="A14" s="4" t="inlineStr">
        <is>
          <t>reseedMult</t>
        </is>
      </c>
      <c r="B14" s="5" t="n">
        <v>8000</v>
      </c>
      <c r="C14" s="2" t="inlineStr"/>
    </row>
    <row r="15">
      <c r="A15" s="4" t="inlineStr">
        <is>
          <t>interestMin</t>
        </is>
      </c>
      <c r="B15" s="5" t="n">
        <v>0.08</v>
      </c>
      <c r="C15" s="2" t="inlineStr"/>
    </row>
    <row r="16">
      <c r="A16" s="4" t="inlineStr">
        <is>
          <t>interestMax</t>
        </is>
      </c>
      <c r="B16" s="5" t="n">
        <v>0.14</v>
      </c>
      <c r="C16" s="2" t="inlineStr"/>
    </row>
    <row r="17">
      <c r="A17" s="4" t="inlineStr">
        <is>
          <t>targetLeverage</t>
        </is>
      </c>
      <c r="B17" s="5" t="n">
        <v>3</v>
      </c>
      <c r="C17" s="2" t="inlineStr"/>
    </row>
    <row r="18">
      <c r="A18" s="4" t="inlineStr">
        <is>
          <t>dangerLeverage</t>
        </is>
      </c>
      <c r="B18" s="5" t="n">
        <v>6</v>
      </c>
      <c r="C18" s="2" t="inlineStr"/>
    </row>
    <row r="19">
      <c r="A19" s="4" t="inlineStr">
        <is>
          <t>reinvestStart</t>
        </is>
      </c>
      <c r="B19" s="5" t="n">
        <v>0.55</v>
      </c>
      <c r="C19" s="2" t="inlineStr"/>
    </row>
    <row r="20">
      <c r="A20" s="4" t="inlineStr">
        <is>
          <t>reinvestEnd</t>
        </is>
      </c>
      <c r="B20" s="5" t="n">
        <v>0.35</v>
      </c>
      <c r="C20" s="2" t="inlineStr"/>
    </row>
    <row r="21">
      <c r="A21" s="4" t="inlineStr">
        <is>
          <t>synergySameSector</t>
        </is>
      </c>
      <c r="B21" s="5" t="n">
        <v>0.2</v>
      </c>
      <c r="C21" s="2" t="inlineStr"/>
    </row>
    <row r="22">
      <c r="A22" s="4" t="inlineStr">
        <is>
          <t>congDiscountPerAddon</t>
        </is>
      </c>
      <c r="B22" s="5" t="n">
        <v>0.08</v>
      </c>
      <c r="C22" s="2" t="inlineStr"/>
    </row>
    <row r="23">
      <c r="A23" s="4" t="inlineStr">
        <is>
          <t>recapPct</t>
        </is>
      </c>
      <c r="B23" s="5" t="n">
        <v>0.3</v>
      </c>
      <c r="C23" s="2" t="inlineStr"/>
    </row>
    <row r="24">
      <c r="A24" s="4" t="inlineStr">
        <is>
          <t>bridgeLoanRepayMul</t>
        </is>
      </c>
      <c r="B24" s="5" t="n">
        <v>1.15</v>
      </c>
      <c r="C24" s="2" t="inlineStr"/>
    </row>
    <row r="26">
      <c r="A26" s="2" t="inlineStr">
        <is>
          <t>note</t>
        </is>
      </c>
      <c r="C26" s="2" t="inlineStr">
        <is>
          <t>startCash/startEbitda in cents ($20,000 / $6,000). startMultiple 6x is a low seed, NOT the SOFTWARE base 14x. seed NetWorth = $56,000. congDiscountPerAddon is a POSITIVE magnitude applied as multiple *= (1 - 0.08).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2" customWidth="1" min="1" max="1"/>
    <col width="110" customWidth="1" min="2" max="2"/>
  </cols>
  <sheetData>
    <row r="1">
      <c r="A1" s="1" t="inlineStr">
        <is>
          <t>Layer-1 FROZEN formulas (see resolver.dart)</t>
        </is>
      </c>
    </row>
    <row r="3">
      <c r="A3" s="3" t="inlineStr">
        <is>
          <t>ID</t>
        </is>
      </c>
      <c r="B3" s="3" t="inlineStr">
        <is>
          <t>Definition</t>
        </is>
      </c>
    </row>
    <row r="4">
      <c r="A4" s="4" t="inlineStr">
        <is>
          <t>F1_enterpriseValue</t>
        </is>
      </c>
      <c r="B4" s="4" t="inlineStr">
        <is>
          <t>EV = trunc(EBITDA * Multiple / 1000)</t>
        </is>
      </c>
    </row>
    <row r="5">
      <c r="A5" s="4" t="inlineStr">
        <is>
          <t>F2_equityValue</t>
        </is>
      </c>
      <c r="B5" s="4" t="inlineStr">
        <is>
          <t>Equity = EV - NetDebt</t>
        </is>
      </c>
    </row>
    <row r="6">
      <c r="A6" s="4" t="inlineStr">
        <is>
          <t>F3_netWorth</t>
        </is>
      </c>
      <c r="B6" s="4" t="inlineStr">
        <is>
          <t>NetWorth = SUM(trunc(Ownership_bp * Equity / 10000)) + Cash</t>
        </is>
      </c>
    </row>
    <row r="7">
      <c r="A7" s="4" t="inlineStr">
        <is>
          <t>F4_interest</t>
        </is>
      </c>
      <c r="B7" s="4" t="inlineStr">
        <is>
          <t>Interest = trunc(Rate_bp * totalNetDebt / 10000), charged in cash each OPERATE</t>
        </is>
      </c>
    </row>
    <row r="8">
      <c r="A8" s="4" t="inlineStr">
        <is>
          <t>F5_dilution</t>
        </is>
      </c>
      <c r="B8" s="4" t="inlineStr">
        <is>
          <t>newOwn_bp = trunc(oldOwn_bp * preMoney / (preMoney + raise)); preMoney = current Equity</t>
        </is>
      </c>
    </row>
    <row r="9">
      <c r="A9" s="4" t="inlineStr">
        <is>
          <t>F6_bankruptcy</t>
        </is>
      </c>
      <c r="B9" s="4" t="inlineStr">
        <is>
          <t>Run ends when cash &lt; 0 after interest is charged in OPERATE (cash is NOT clamped at 0; deficit is not rolled into netDebt)</t>
        </is>
      </c>
    </row>
    <row r="10">
      <c r="A10" s="4" t="inlineStr">
        <is>
          <t>tierClear</t>
        </is>
      </c>
      <c r="B10" s="4" t="inlineStr">
        <is>
          <t>tier cleared in DEADLINE_CHECK the first round mark-to-market NetWorth &gt;= tierBar, on or before deadline</t>
        </is>
      </c>
    </row>
    <row r="11">
      <c r="A11" s="4" t="inlineStr">
        <is>
          <t>arbitrageFlash</t>
        </is>
      </c>
      <c r="B11" s="4" t="inlineStr">
        <is>
          <t>RENDER-ONLY: accretion = trunc(ebitda_addon * (m_platform - m_buy) / 1000); written to NO field</t>
        </is>
      </c>
    </row>
    <row r="12">
      <c r="A12" s="4" t="inlineStr">
        <is>
          <t>multipleStored</t>
        </is>
      </c>
      <c r="B12" s="4" t="inlineStr">
        <is>
          <t>multiple is a STORED mutable field; market drift is an additive delta: multiple += trunc(multiple * (driftFactor - 1)); never resampled from sectorBase</t>
        </is>
      </c>
    </row>
    <row r="13">
      <c r="A13" s="4" t="inlineStr">
        <is>
          <t>driftDelta</t>
        </is>
      </c>
      <c r="B13" s="4" t="inlineStr">
        <is>
          <t>driftFactor = stateFactor * (1 + sectorVol * tri), tri in [-1,1] triangular draw; multiple = max(1000, multiple + trunc(multiple*(driftFactor-1)))</t>
        </is>
      </c>
    </row>
    <row r="14">
      <c r="A14" s="4" t="inlineStr">
        <is>
          <t>reinvestEff</t>
        </is>
      </c>
      <c r="B14" s="4" t="inlineStr">
        <is>
          <t>reinvestEff(progress) = reinvestStart + (reinvestEnd - reinvestStart) * min(1, progress); progress = roundInTier(zero-indexed) / deadline</t>
        </is>
      </c>
    </row>
    <row r="15">
      <c r="A15" s="4" t="inlineStr">
        <is>
          <t>synergySameSector</t>
        </is>
      </c>
      <c r="B15" s="4" t="inlineStr">
        <is>
          <t>ebitda += addon.ebitda + trunc(addon.ebitda * synergySameSector); multiple unchanged</t>
        </is>
      </c>
    </row>
    <row r="16">
      <c r="A16" s="4" t="inlineStr">
        <is>
          <t>congDrag</t>
        </is>
      </c>
      <c r="B16" s="4" t="inlineStr">
        <is>
          <t>multiple = trunc(multiple * (1 - congDiscountPerAddon)) per cross-sector add-on (unit = one add-on; stacks multiplicatively as 0.92^n)</t>
        </is>
      </c>
    </row>
    <row r="17">
      <c r="A17" s="4" t="inlineStr">
        <is>
          <t>addonPrice</t>
        </is>
      </c>
      <c r="B17" s="4" t="inlineStr">
        <is>
          <t>price = trunc(addon.ebitda * m_buy / 1000); cash -= price; netDebt += faceDebt</t>
        </is>
      </c>
    </row>
    <row r="18">
      <c r="A18" s="4" t="inlineStr">
        <is>
          <t>exit</t>
        </is>
      </c>
      <c r="B18" s="4" t="inlineStr">
        <is>
          <t>exitEV = trunc(ebitda * exitMultiple / 1000); proceeds = trunc((exitEV - netDebt) * ownership / 10000); cash += proceeds; remove venture</t>
        </is>
      </c>
    </row>
    <row r="19">
      <c r="A19" s="4" t="inlineStr">
        <is>
          <t>exitMultiple</t>
        </is>
      </c>
      <c r="B19" s="4" t="inlineStr">
        <is>
          <t>hotWindowArmed ? sectorHotMultiple : min(offer.multiple, sectorLiveMultiple)</t>
        </is>
      </c>
    </row>
    <row r="20">
      <c r="A20" s="4" t="inlineStr">
        <is>
          <t>dividendRecap</t>
        </is>
      </c>
      <c r="B20" s="4" t="inlineStr">
        <is>
          <t>cash += trunc(EV * recapPct); netDebt += trunc(EV * recapPct)</t>
        </is>
      </c>
    </row>
    <row r="21">
      <c r="A21" s="4" t="inlineStr">
        <is>
          <t>reseed</t>
        </is>
      </c>
      <c r="B21" s="4" t="inlineStr">
        <is>
          <t>seedEbitda = trunc(carrySeedFrac * NetWorth * 1000 / reseedMult); deltas applied via resolver as a system event (obeys invariant, logged)</t>
        </is>
      </c>
    </row>
    <row r="22">
      <c r="A22" s="4" t="inlineStr">
        <is>
          <t>decay</t>
        </is>
      </c>
      <c r="B22" s="4" t="inlineStr">
        <is>
          <t>ebitda -= trunc(ebitda * decayRate[min(roundsNeglected,3)]); multiple -= trunc(multiple * multDecayRate); halved for passive ventures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18" customWidth="1" min="2" max="2"/>
    <col width="10" customWidth="1" min="3" max="3"/>
    <col width="11" customWidth="1" min="4" max="4"/>
    <col width="80" customWidth="1" min="5" max="5"/>
  </cols>
  <sheetData>
    <row r="1">
      <c r="A1" s="1" t="inlineStr">
        <is>
          <t>Sectors (4) — base multiple seeds + volatility</t>
        </is>
      </c>
    </row>
    <row r="3">
      <c r="A3" s="3" t="inlineStr">
        <is>
          <t>Sector</t>
        </is>
      </c>
      <c r="B3" s="3" t="inlineStr">
        <is>
          <t>baseMultiple (raw)</t>
        </is>
      </c>
      <c r="C3" s="3" t="inlineStr">
        <is>
          <t>as x</t>
        </is>
      </c>
      <c r="D3" s="3" t="inlineStr">
        <is>
          <t>Volatility</t>
        </is>
      </c>
      <c r="E3" s="3" t="inlineStr">
        <is>
          <t>Signature</t>
        </is>
      </c>
    </row>
    <row r="4">
      <c r="A4" s="4" t="inlineStr">
        <is>
          <t>SOFTWARE</t>
        </is>
      </c>
      <c r="B4" s="6" t="n">
        <v>14000</v>
      </c>
      <c r="C4" s="7">
        <f>B4/1000</f>
        <v/>
      </c>
      <c r="D4" s="6" t="n">
        <v>0.3</v>
      </c>
      <c r="E4" s="4" t="inlineStr">
        <is>
          <t>Steady earnings but spiky multiple; bubbles hardest, highest ceiling, whips most in a crunch.</t>
        </is>
      </c>
    </row>
    <row r="5">
      <c r="A5" s="4" t="inlineStr">
        <is>
          <t>SERVICES</t>
        </is>
      </c>
      <c r="B5" s="6" t="n">
        <v>5000</v>
      </c>
      <c r="C5" s="7">
        <f>B5/1000</f>
        <v/>
      </c>
      <c r="D5" s="6" t="n">
        <v>0.22</v>
      </c>
      <c r="E5" s="4" t="inlineStr">
        <is>
          <t>Labor-heavy; EBITDA spiky round-to-round, modest multiple.</t>
        </is>
      </c>
    </row>
    <row r="6">
      <c r="A6" s="4" t="inlineStr">
        <is>
          <t>RETAIL</t>
        </is>
      </c>
      <c r="B6" s="6" t="n">
        <v>3000</v>
      </c>
      <c r="C6" s="7">
        <f>B6/1000</f>
        <v/>
      </c>
      <c r="D6" s="6" t="n">
        <v>0.1</v>
      </c>
      <c r="E6" s="4" t="inlineStr">
        <is>
          <t>Cash-rich but multiple-poor; high cash yield flavour, low valuation ceiling.</t>
        </is>
      </c>
    </row>
    <row r="7">
      <c r="A7" s="4" t="inlineStr">
        <is>
          <t>INDUSTRIAL</t>
        </is>
      </c>
      <c r="B7" s="6" t="n">
        <v>8000</v>
      </c>
      <c r="C7" s="7">
        <f>B7/1000</f>
        <v/>
      </c>
      <c r="D7" s="6" t="n">
        <v>0.12</v>
      </c>
      <c r="E7" s="4" t="inlineStr">
        <is>
          <t>Asset-heavy, slow, crash-resistant; the defensive holdco anchor at 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7" customWidth="1" min="1" max="1"/>
    <col width="10" customWidth="1" min="2" max="2"/>
    <col width="16" customWidth="1" min="3" max="3"/>
    <col width="14" customWidth="1" min="4" max="4"/>
    <col width="16" customWidth="1" min="5" max="5"/>
    <col width="13" customWidth="1" min="6" max="6"/>
    <col width="40" customWidth="1" min="7" max="7"/>
  </cols>
  <sheetData>
    <row r="1">
      <c r="A1" s="1" t="inlineStr">
        <is>
          <t>Tier net-worth bars (the ante track)</t>
        </is>
      </c>
    </row>
    <row r="3">
      <c r="A3" s="3" t="inlineStr">
        <is>
          <t>Tier</t>
        </is>
      </c>
      <c r="B3" s="3" t="inlineStr">
        <is>
          <t>Display</t>
        </is>
      </c>
      <c r="C3" s="3" t="inlineStr">
        <is>
          <t>Bar (cents)</t>
        </is>
      </c>
      <c r="D3" s="3" t="inlineStr">
        <is>
          <t>Bar ($)</t>
        </is>
      </c>
      <c r="E3" s="3" t="inlineStr">
        <is>
          <t>Deadline (rounds)</t>
        </is>
      </c>
      <c r="F3" s="3" t="inlineStr">
        <is>
          <t>Floor clear %</t>
        </is>
      </c>
      <c r="G3" s="3" t="inlineStr">
        <is>
          <t>Who</t>
        </is>
      </c>
    </row>
    <row r="4">
      <c r="A4" s="4" t="n">
        <v>1</v>
      </c>
      <c r="B4" s="4" t="inlineStr">
        <is>
          <t>$1M</t>
        </is>
      </c>
      <c r="C4" s="6" t="n">
        <v>100000000</v>
      </c>
      <c r="D4" s="8">
        <f>C4/100</f>
        <v/>
      </c>
      <c r="E4" s="6" t="n">
        <v>8</v>
      </c>
      <c r="F4" s="9" t="n">
        <v>0.77</v>
      </c>
      <c r="G4" s="4" t="inlineStr">
        <is>
          <t>Scrappy founder, bootstrapped</t>
        </is>
      </c>
    </row>
    <row r="5">
      <c r="A5" s="4" t="n">
        <v>2</v>
      </c>
      <c r="B5" s="4" t="inlineStr">
        <is>
          <t>$10M</t>
        </is>
      </c>
      <c r="C5" s="6" t="n">
        <v>1000000000</v>
      </c>
      <c r="D5" s="8">
        <f>C5/100</f>
        <v/>
      </c>
      <c r="E5" s="6" t="n">
        <v>8</v>
      </c>
      <c r="F5" s="9" t="n">
        <v>0.46</v>
      </c>
      <c r="G5" s="4" t="inlineStr">
        <is>
          <t>You raise (dilution wall)</t>
        </is>
      </c>
    </row>
    <row r="6">
      <c r="A6" s="4" t="n">
        <v>3</v>
      </c>
      <c r="B6" s="4" t="inlineStr">
        <is>
          <t>$100M</t>
        </is>
      </c>
      <c r="C6" s="6" t="n">
        <v>10000000000</v>
      </c>
      <c r="D6" s="8">
        <f>C6/100</f>
        <v/>
      </c>
      <c r="E6" s="6" t="n">
        <v>9</v>
      </c>
      <c r="F6" s="9" t="n">
        <v>0.41</v>
      </c>
      <c r="G6" s="4" t="inlineStr">
        <is>
          <t>The fork: exit serial or empire</t>
        </is>
      </c>
    </row>
    <row r="7">
      <c r="A7" s="4" t="n">
        <v>4</v>
      </c>
      <c r="B7" s="4" t="inlineStr">
        <is>
          <t>$1B</t>
        </is>
      </c>
      <c r="C7" s="6" t="n">
        <v>100000000000</v>
      </c>
      <c r="D7" s="8">
        <f>C7/100</f>
        <v/>
      </c>
      <c r="E7" s="6" t="n">
        <v>10</v>
      </c>
      <c r="F7" s="9" t="n">
        <v>0.4</v>
      </c>
      <c r="G7" s="4" t="inlineStr">
        <is>
          <t>You become the money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0" customWidth="1" min="1" max="1"/>
    <col width="8" customWidth="1" min="2" max="2"/>
    <col width="8" customWidth="1" min="3" max="3"/>
    <col width="10" customWidth="1" min="4" max="4"/>
    <col width="60" customWidth="1" min="5" max="5"/>
  </cols>
  <sheetData>
    <row r="1">
      <c r="A1" s="1" t="inlineStr">
        <is>
          <t>Curves — growth line, reinvest decay, interest, drift, leverage</t>
        </is>
      </c>
    </row>
    <row r="3">
      <c r="A3" s="10" t="inlineStr">
        <is>
          <t>Optimal growth (per tier)</t>
        </is>
      </c>
    </row>
    <row r="4">
      <c r="A4" s="3" t="inlineStr">
        <is>
          <t>Tier</t>
        </is>
      </c>
      <c r="B4" s="3" t="inlineStr">
        <is>
          <t>Growth needed</t>
        </is>
      </c>
      <c r="C4" s="3" t="inlineStr">
        <is>
          <t>Required/round</t>
        </is>
      </c>
      <c r="D4" s="3" t="inlineStr">
        <is>
          <t>Realistic early</t>
        </is>
      </c>
      <c r="E4" s="3" t="inlineStr">
        <is>
          <t>Realistic late</t>
        </is>
      </c>
    </row>
    <row r="5">
      <c r="A5" s="4" t="n">
        <v>1</v>
      </c>
      <c r="B5" s="4" t="n">
        <v>17.9</v>
      </c>
      <c r="C5" s="4" t="n">
        <v>1.42</v>
      </c>
      <c r="D5" s="4" t="n"/>
      <c r="E5" s="4" t="n"/>
    </row>
    <row r="6">
      <c r="A6" s="4" t="n">
        <v>2</v>
      </c>
      <c r="B6" s="4" t="n">
        <v>10</v>
      </c>
      <c r="C6" s="4" t="n">
        <v>1.33</v>
      </c>
      <c r="D6" s="4" t="n">
        <v>1.45</v>
      </c>
      <c r="E6" s="4" t="n">
        <v>1.25</v>
      </c>
    </row>
    <row r="7">
      <c r="A7" s="4" t="n">
        <v>3</v>
      </c>
      <c r="B7" s="4" t="n">
        <v>10</v>
      </c>
      <c r="C7" s="4" t="n">
        <v>1.29</v>
      </c>
      <c r="D7" s="4" t="n">
        <v>1.45</v>
      </c>
      <c r="E7" s="4" t="n">
        <v>1.2</v>
      </c>
    </row>
    <row r="8">
      <c r="A8" s="4" t="n">
        <v>4</v>
      </c>
      <c r="B8" s="4" t="n">
        <v>10</v>
      </c>
      <c r="C8" s="4" t="n">
        <v>1.26</v>
      </c>
      <c r="D8" s="4" t="n">
        <v>1.4</v>
      </c>
      <c r="E8" s="4" t="n">
        <v>1.18</v>
      </c>
    </row>
    <row r="10">
      <c r="A10" s="10" t="inlineStr">
        <is>
          <t>Reinvest-efficiency decay</t>
        </is>
      </c>
    </row>
    <row r="11">
      <c r="A11" s="3" t="inlineStr">
        <is>
          <t>Progress</t>
        </is>
      </c>
      <c r="B11" s="3" t="inlineStr">
        <is>
          <t>Efficiency</t>
        </is>
      </c>
    </row>
    <row r="12">
      <c r="A12" s="4" t="n">
        <v>0</v>
      </c>
      <c r="B12" s="11" t="n">
        <v>0.55</v>
      </c>
    </row>
    <row r="13">
      <c r="A13" s="4" t="n">
        <v>0.25</v>
      </c>
      <c r="B13" s="11" t="n">
        <v>0.5</v>
      </c>
    </row>
    <row r="14">
      <c r="A14" s="4" t="n">
        <v>0.5</v>
      </c>
      <c r="B14" s="11" t="n">
        <v>0.45</v>
      </c>
    </row>
    <row r="15">
      <c r="A15" s="4" t="n">
        <v>0.75</v>
      </c>
      <c r="B15" s="11" t="n">
        <v>0.4</v>
      </c>
    </row>
    <row r="16">
      <c r="A16" s="4" t="n">
        <v>1</v>
      </c>
      <c r="B16" s="11" t="n">
        <v>0.35</v>
      </c>
    </row>
    <row r="18">
      <c r="A18" s="10" t="inlineStr">
        <is>
          <t>Interest band</t>
        </is>
      </c>
    </row>
    <row r="19">
      <c r="A19" s="3" t="inlineStr">
        <is>
          <t>State</t>
        </is>
      </c>
      <c r="B19" s="3" t="inlineStr">
        <is>
          <t>Min</t>
        </is>
      </c>
      <c r="C19" s="3" t="inlineStr">
        <is>
          <t>Max</t>
        </is>
      </c>
      <c r="D19" s="3" t="inlineStr">
        <is>
          <t>Rate mult</t>
        </is>
      </c>
      <c r="E19" s="3" t="inlineStr">
        <is>
          <t>Financing</t>
        </is>
      </c>
    </row>
    <row r="20">
      <c r="A20" s="4" t="inlineStr">
        <is>
          <t>normal</t>
        </is>
      </c>
      <c r="B20" s="6" t="n">
        <v>0.08</v>
      </c>
      <c r="C20" s="6" t="n">
        <v>0.14</v>
      </c>
      <c r="D20" s="6" t="n">
        <v>1</v>
      </c>
      <c r="E20" s="2" t="inlineStr">
        <is>
          <t>open</t>
        </is>
      </c>
    </row>
    <row r="21">
      <c r="A21" s="4" t="inlineStr">
        <is>
          <t>bubble</t>
        </is>
      </c>
      <c r="B21" s="6" t="n">
        <v>0.07199999999999999</v>
      </c>
      <c r="C21" s="6" t="n">
        <v>0.126</v>
      </c>
      <c r="D21" s="6" t="n">
        <v>0.9</v>
      </c>
      <c r="E21" s="2" t="inlineStr">
        <is>
          <t>open, cheap</t>
        </is>
      </c>
    </row>
    <row r="22">
      <c r="A22" s="4" t="inlineStr">
        <is>
          <t>crunch</t>
        </is>
      </c>
      <c r="B22" s="6" t="n">
        <v>0.144</v>
      </c>
      <c r="C22" s="6" t="n">
        <v>0.252</v>
      </c>
      <c r="D22" s="6" t="n">
        <v>1.8</v>
      </c>
      <c r="E22" s="2" t="inlineStr">
        <is>
          <t>new TAKE_DEBT and financing cards DISABLED or COLD-priced (GDD Q3); existing debt still accrues at spiked 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8" customWidth="1" min="1" max="1"/>
    <col width="10" customWidth="1" min="2" max="2"/>
    <col width="70" customWidth="1" min="3" max="3"/>
    <col width="40" customWidth="1" min="4" max="4"/>
  </cols>
  <sheetData>
    <row r="1">
      <c r="A1" s="1" t="inlineStr">
        <is>
          <t>PLAYS — the one-shot consumable layer (§8 Q2)</t>
        </is>
      </c>
    </row>
    <row r="3">
      <c r="A3" s="3" t="inlineStr">
        <is>
          <t>Play</t>
        </is>
      </c>
      <c r="B3" s="3" t="inlineStr">
        <is>
          <t>Gate</t>
        </is>
      </c>
      <c r="C3" s="3" t="inlineStr">
        <is>
          <t>Deltas / effect</t>
        </is>
      </c>
      <c r="D3" s="3" t="inlineStr">
        <is>
          <t>Warning</t>
        </is>
      </c>
    </row>
    <row r="4">
      <c r="A4" s="4" t="inlineStr">
        <is>
          <t>BRIDGE_LOAN</t>
        </is>
      </c>
      <c r="B4" s="6" t="inlineStr"/>
      <c r="C4" s="4" t="inlineStr">
        <is>
          <t>cash += X; netDebt += trunc(X * 1.15)</t>
        </is>
      </c>
      <c r="D4" s="2" t="inlineStr"/>
    </row>
    <row r="5">
      <c r="A5" s="4" t="inlineStr">
        <is>
          <t>SECONDARY_SALE</t>
        </is>
      </c>
      <c r="B5" s="6" t="inlineStr"/>
      <c r="C5" s="4" t="inlineStr">
        <is>
          <t>ownership -= dBp; cash += trunc(ventureEquity * dBp / 10000)</t>
        </is>
      </c>
      <c r="D5" s="2" t="inlineStr"/>
    </row>
    <row r="6">
      <c r="A6" s="4" t="inlineStr">
        <is>
          <t>DOWN_ROUND</t>
        </is>
      </c>
      <c r="B6" s="6" t="inlineStr"/>
      <c r="C6" s="4" t="inlineStr">
        <is>
          <t>cash += X; ownership -= bigBp</t>
        </is>
      </c>
      <c r="D6" s="2" t="inlineStr"/>
    </row>
    <row r="7">
      <c r="A7" s="4" t="inlineStr">
        <is>
          <t>TENDER</t>
        </is>
      </c>
      <c r="B7" s="6" t="inlineStr"/>
      <c r="C7" s="4" t="inlineStr">
        <is>
          <t>cash -= cost; ownership += dBp</t>
        </is>
      </c>
      <c r="D7" s="2" t="inlineStr"/>
    </row>
    <row r="8">
      <c r="A8" s="4" t="inlineStr">
        <is>
          <t>DIVIDEND_RECAP</t>
        </is>
      </c>
      <c r="B8" s="6" t="inlineStr">
        <is>
          <t>tier&gt;=2</t>
        </is>
      </c>
      <c r="C8" s="4" t="inlineStr">
        <is>
          <t>cash += trunc(EV*recapPct); netDebt += trunc(EV*recapPct)</t>
        </is>
      </c>
      <c r="D8" s="2" t="inlineStr">
        <is>
          <t>can be fatal; classic F6 setup</t>
        </is>
      </c>
    </row>
    <row r="9">
      <c r="A9" s="4" t="inlineStr">
        <is>
          <t>HOT_WINDOW</t>
        </is>
      </c>
      <c r="B9" s="6" t="inlineStr"/>
      <c r="C9" s="4" t="inlineStr">
        <is>
          <t>none; arms market.hotWindowArmed for next EXIT</t>
        </is>
      </c>
      <c r="D9" s="2" t="inlineStr"/>
    </row>
    <row r="10">
      <c r="A10" s="4" t="inlineStr">
        <is>
          <t>ASSET_STRIP</t>
        </is>
      </c>
      <c r="B10" s="6" t="inlineStr"/>
      <c r="C10" s="4" t="inlineStr">
        <is>
          <t>cash += X; ebitda -= d</t>
        </is>
      </c>
      <c r="D10" s="2" t="inlineStr"/>
    </row>
    <row r="11">
      <c r="A11" s="4" t="inlineStr">
        <is>
          <t>SPIN_OFF</t>
        </is>
      </c>
      <c r="B11" s="6" t="inlineStr"/>
      <c r="C11" s="4" t="inlineStr">
        <is>
          <t>cash += lockedEquity; remove venture (frees SLOT)</t>
        </is>
      </c>
      <c r="D11" s="2" t="inlineStr"/>
    </row>
    <row r="12">
      <c r="A12" s="4" t="inlineStr">
        <is>
          <t>EARN_OUT</t>
        </is>
      </c>
      <c r="B12" s="6" t="inlineStr"/>
      <c r="C12" s="4" t="inlineStr">
        <is>
          <t>cash += 0 now; deferred cash -= trunc(pct*ebitda) for N rounds</t>
        </is>
      </c>
      <c r="D12" s="2" t="inlineStr"/>
    </row>
    <row r="13">
      <c r="A13" s="4" t="inlineStr">
        <is>
          <t>MARKET_READ</t>
        </is>
      </c>
      <c r="B13" s="6" t="inlineStr"/>
      <c r="C13" s="4" t="inlineStr">
        <is>
          <t>none; sets market.marketReadHint (direction only)</t>
        </is>
      </c>
      <c r="D13"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4" customWidth="1" min="1" max="1"/>
    <col width="18" customWidth="1" min="2" max="2"/>
    <col width="80" customWidth="1" min="3" max="3"/>
  </cols>
  <sheetData>
    <row r="1">
      <c r="A1" s="1" t="inlineStr">
        <is>
          <t>Tuning knobs (turn these first)</t>
        </is>
      </c>
    </row>
    <row r="3">
      <c r="A3" s="3" t="inlineStr">
        <is>
          <t>Knob</t>
        </is>
      </c>
      <c r="B3" s="3" t="inlineStr">
        <is>
          <t>Value</t>
        </is>
      </c>
      <c r="C3" s="3" t="inlineStr">
        <is>
          <t>Note</t>
        </is>
      </c>
    </row>
    <row r="4">
      <c r="A4" s="4" t="inlineStr">
        <is>
          <t>carrySeedFrac</t>
        </is>
      </c>
      <c r="B4" s="5" t="n">
        <v>0.24</v>
      </c>
      <c r="C4" s="2" t="inlineStr">
        <is>
          <t>biggest difficulty lever; momentum carried between tiers. Up=easier.</t>
        </is>
      </c>
    </row>
    <row r="5">
      <c r="A5" s="4" t="inlineStr">
        <is>
          <t>deadlineRounds</t>
        </is>
      </c>
      <c r="B5" s="5" t="inlineStr">
        <is>
          <t>[8, 8, 9, 10]</t>
        </is>
      </c>
      <c r="C5" s="2" t="inlineStr">
        <is>
          <t>T2 is the squeeze; loosen here first if floor death-rate &gt;40%.</t>
        </is>
      </c>
    </row>
    <row r="6">
      <c r="A6" s="4" t="inlineStr">
        <is>
          <t>organicGrowthDefault</t>
        </is>
      </c>
      <c r="B6" s="5" t="n">
        <v>0.1</v>
      </c>
      <c r="C6" s="2" t="inlineStr">
        <is>
          <t>raises floor without touching skill ceiling; attributed to seed/hired partner, not free engine drift.</t>
        </is>
      </c>
    </row>
    <row r="7">
      <c r="A7" s="4" t="inlineStr">
        <is>
          <t>reinvestStart</t>
        </is>
      </c>
      <c r="B7" s="5" t="n">
        <v>0.55</v>
      </c>
      <c r="C7" s="2" t="inlineStr">
        <is>
          <t>with reinvestEnd controls how hard lever-switching is forced.</t>
        </is>
      </c>
    </row>
    <row r="8">
      <c r="A8" s="4" t="inlineStr">
        <is>
          <t>reinvestEnd</t>
        </is>
      </c>
      <c r="B8" s="5" t="n">
        <v>0.35</v>
      </c>
      <c r="C8" s="2" t="inlineStr">
        <is>
          <t>raise to flatten (easier), lower to steepen (harder).</t>
        </is>
      </c>
    </row>
    <row r="9">
      <c r="A9" s="4" t="inlineStr">
        <is>
          <t>interestMax</t>
        </is>
      </c>
      <c r="B9" s="5" t="n">
        <v>0.14</v>
      </c>
      <c r="C9" s="2" t="inlineStr">
        <is>
          <t>down raises the bankruptcy floor for levered play.</t>
        </is>
      </c>
    </row>
    <row r="10">
      <c r="A10" s="4" t="inlineStr">
        <is>
          <t>dangerLeverage</t>
        </is>
      </c>
      <c r="B10" s="5" t="n">
        <v>6</v>
      </c>
      <c r="C10" s="2" t="inlineStr">
        <is>
          <t>how greedy a player can get before the gauge turns red.</t>
        </is>
      </c>
    </row>
    <row r="11">
      <c r="A11" s="4" t="inlineStr">
        <is>
          <t>synergySameSector</t>
        </is>
      </c>
      <c r="B11" s="5" t="n">
        <v>0.2</v>
      </c>
      <c r="C11" s="2" t="inlineStr">
        <is>
          <t>reward for focused roll-ups; watch for runaway accretion.</t>
        </is>
      </c>
    </row>
    <row r="12">
      <c r="A12" s="4" t="inlineStr">
        <is>
          <t>congDiscountPerAddon</t>
        </is>
      </c>
      <c r="B12" s="5" t="n">
        <v>0.08</v>
      </c>
      <c r="C12" s="2" t="inlineStr">
        <is>
          <t>steepness of the conglomerate self-limit; positive magnitude, multiple *= (1-this).</t>
        </is>
      </c>
    </row>
    <row r="13">
      <c r="A13" s="4" t="inlineStr">
        <is>
          <t>recapPct</t>
        </is>
      </c>
      <c r="B13" s="5" t="n">
        <v>0.3</v>
      </c>
      <c r="C13" s="2" t="inlineStr">
        <is>
          <t>dividend-recap aggression; primary greed-death dial alongside crunch.</t>
        </is>
      </c>
    </row>
    <row r="14">
      <c r="A14" s="4" t="inlineStr">
        <is>
          <t>decayRate</t>
        </is>
      </c>
      <c r="B14" s="5" t="inlineStr">
        <is>
          <t>[0.04, 0.08, 0.15]</t>
        </is>
      </c>
      <c r="C14" s="2" t="inlineStr">
        <is>
          <t>neglect punisher by rounds neglected; halved for passive ventures.</t>
        </is>
      </c>
    </row>
    <row r="15">
      <c r="A15" s="4" t="inlineStr">
        <is>
          <t>driftCrunch</t>
        </is>
      </c>
      <c r="B15" s="5" t="n">
        <v>0.75</v>
      </c>
      <c r="C15" s="2" t="inlineStr">
        <is>
          <t>greed-punishment dial; tune so greedy bankruptcy ~8-12%.</t>
        </is>
      </c>
    </row>
    <row r="16">
      <c r="A16" s="4" t="inlineStr">
        <is>
          <t>crunchRateMul</t>
        </is>
      </c>
      <c r="B16" s="5" t="n">
        <v>1.8</v>
      </c>
      <c r="C16" s="2" t="inlineStr">
        <is>
          <t>interest spike in a crunch; primary F6 trigger for over-levered play.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6"/>
  <sheetViews>
    <sheetView workbookViewId="0">
      <pane ySplit="3" topLeftCell="A4" activePane="bottomLeft" state="frozen"/>
      <selection pane="bottomLeft" activeCell="A1" sqref="A1"/>
    </sheetView>
  </sheetViews>
  <sheetFormatPr baseColWidth="8" defaultRowHeight="15"/>
  <cols>
    <col width="16" customWidth="1" min="1" max="1"/>
    <col width="24" customWidth="1" min="2" max="2"/>
    <col width="11" customWidth="1" min="3" max="3"/>
    <col width="11" customWidth="1" min="4" max="4"/>
    <col width="9" customWidth="1" min="5" max="5"/>
    <col width="8" customWidth="1" min="6" max="6"/>
    <col width="24" customWidth="1" min="7" max="7"/>
    <col width="9" customWidth="1" min="8" max="8"/>
    <col width="10" customWidth="1" min="9" max="9"/>
    <col width="9" customWidth="1" min="10" max="10"/>
    <col width="7" customWidth="1" min="11" max="11"/>
    <col width="8" customWidth="1" min="12" max="12"/>
    <col width="6" customWidth="1" min="13" max="13"/>
    <col width="46" customWidth="1" min="14" max="14"/>
    <col width="46" customWidth="1" min="15" max="15"/>
  </cols>
  <sheetData>
    <row r="1">
      <c r="A1" s="1" t="inlineStr">
        <is>
          <t>Content / Card Database (33 cards; vertical slice flagged)</t>
        </is>
      </c>
    </row>
    <row r="3">
      <c r="A3" s="3" t="inlineStr">
        <is>
          <t>id</t>
        </is>
      </c>
      <c r="B3" s="3" t="inlineStr">
        <is>
          <t>name</t>
        </is>
      </c>
      <c r="C3" s="3" t="inlineStr">
        <is>
          <t>type</t>
        </is>
      </c>
      <c r="D3" s="3" t="inlineStr">
        <is>
          <t>sector</t>
        </is>
      </c>
      <c r="E3" s="3" t="inlineStr">
        <is>
          <t>rarity</t>
        </is>
      </c>
      <c r="F3" s="3" t="inlineStr">
        <is>
          <t>tierGate</t>
        </is>
      </c>
      <c r="G3" s="3" t="inlineStr">
        <is>
          <t>cost</t>
        </is>
      </c>
      <c r="H3" s="3" t="inlineStr">
        <is>
          <t>d.ebitda</t>
        </is>
      </c>
      <c r="I3" s="3" t="inlineStr">
        <is>
          <t>d.multiple</t>
        </is>
      </c>
      <c r="J3" s="3" t="inlineStr">
        <is>
          <t>d.netDebt</t>
        </is>
      </c>
      <c r="K3" s="3" t="inlineStr">
        <is>
          <t>d.own</t>
        </is>
      </c>
      <c r="L3" s="3" t="inlineStr">
        <is>
          <t>d.cash</t>
        </is>
      </c>
      <c r="M3" s="3" t="inlineStr">
        <is>
          <t>VS?</t>
        </is>
      </c>
      <c r="N3" s="3" t="inlineStr">
        <is>
          <t>lesson</t>
        </is>
      </c>
      <c r="O3" s="3" t="inlineStr">
        <is>
          <t>flavor</t>
        </is>
      </c>
    </row>
    <row r="4">
      <c r="A4" s="4" t="inlineStr">
        <is>
          <t>VEN_SW_GARAGE</t>
        </is>
      </c>
      <c r="B4" s="4" t="inlineStr">
        <is>
          <t>Garage SaaS</t>
        </is>
      </c>
      <c r="C4" s="4" t="inlineStr">
        <is>
          <t>venture</t>
        </is>
      </c>
      <c r="D4" s="4" t="inlineStr">
        <is>
          <t>SOFTWARE</t>
        </is>
      </c>
      <c r="E4" s="4" t="inlineStr">
        <is>
          <t>common</t>
        </is>
      </c>
      <c r="F4" s="4" t="n">
        <v>1</v>
      </c>
      <c r="G4" s="4" t="inlineStr">
        <is>
          <t>{"cash": 1200000, "debt": 0, "dilution": 0}</t>
        </is>
      </c>
      <c r="H4" s="4" t="n">
        <v>400000</v>
      </c>
      <c r="I4" s="4" t="n">
        <v>14000</v>
      </c>
      <c r="J4" s="4" t="n"/>
      <c r="K4" s="4" t="n">
        <v>10000</v>
      </c>
      <c r="L4" s="4" t="n">
        <v>-1200000</v>
      </c>
      <c r="M4" s="12" t="inlineStr">
        <is>
          <t>Y</t>
        </is>
      </c>
      <c r="N4" s="4" t="inlineStr">
        <is>
          <t>Founding = 100% ownership of a tiny base. The climb starts lean; the multiple does the heavy lifting later.</t>
        </is>
      </c>
      <c r="O4" s="4" t="inlineStr">
        <is>
          <t>Two laptops, one couch, infinite confidence.</t>
        </is>
      </c>
    </row>
    <row r="5">
      <c r="A5" s="4" t="inlineStr">
        <is>
          <t>VEN_SVC_AGENCY</t>
        </is>
      </c>
      <c r="B5" s="4" t="inlineStr">
        <is>
          <t>Boutique Consultancy</t>
        </is>
      </c>
      <c r="C5" s="4" t="inlineStr">
        <is>
          <t>venture</t>
        </is>
      </c>
      <c r="D5" s="4" t="inlineStr">
        <is>
          <t>SERVICES</t>
        </is>
      </c>
      <c r="E5" s="4" t="inlineStr">
        <is>
          <t>common</t>
        </is>
      </c>
      <c r="F5" s="4" t="n">
        <v>1</v>
      </c>
      <c r="G5" s="4" t="inlineStr">
        <is>
          <t>{"cash": 800000, "debt": 0, "dilution": 0}</t>
        </is>
      </c>
      <c r="H5" s="4" t="n">
        <v>550000</v>
      </c>
      <c r="I5" s="4" t="n">
        <v>5000</v>
      </c>
      <c r="J5" s="4" t="n"/>
      <c r="K5" s="4" t="n">
        <v>10000</v>
      </c>
      <c r="L5" s="4" t="n">
        <v>-800000</v>
      </c>
      <c r="M5" s="12" t="inlineStr">
        <is>
          <t>Y</t>
        </is>
      </c>
      <c r="N5" s="4" t="inlineStr">
        <is>
          <t>Services convert effort to cash fast (high EBITDA per dollar in) but trade at a low multiple. Earnings, not story.</t>
        </is>
      </c>
      <c r="O5" s="4" t="inlineStr">
        <is>
          <t>You ARE the product. Pray nobody quits.</t>
        </is>
      </c>
    </row>
    <row r="6">
      <c r="A6" s="4" t="inlineStr">
        <is>
          <t>VEN_RET_KIOSK</t>
        </is>
      </c>
      <c r="B6" s="4" t="inlineStr">
        <is>
          <t>Mall Kiosk Chain</t>
        </is>
      </c>
      <c r="C6" s="4" t="inlineStr">
        <is>
          <t>venture</t>
        </is>
      </c>
      <c r="D6" s="4" t="inlineStr">
        <is>
          <t>RETAIL</t>
        </is>
      </c>
      <c r="E6" s="4" t="inlineStr">
        <is>
          <t>common</t>
        </is>
      </c>
      <c r="F6" s="4" t="n">
        <v>1</v>
      </c>
      <c r="G6" s="4" t="inlineStr">
        <is>
          <t>{"cash": 700000, "debt": 0, "dilution": 0}</t>
        </is>
      </c>
      <c r="H6" s="4" t="n">
        <v>500000</v>
      </c>
      <c r="I6" s="4" t="n">
        <v>3000</v>
      </c>
      <c r="J6" s="4" t="n"/>
      <c r="K6" s="4" t="n">
        <v>10000</v>
      </c>
      <c r="L6" s="4" t="n">
        <v>-700000</v>
      </c>
      <c r="M6" s="12" t="inlineStr">
        <is>
          <t>Y</t>
        </is>
      </c>
      <c r="N6" s="4" t="inlineStr">
        <is>
          <t>Retail is cash-rich but multiple-poor: it spits out pocket cash every round, yet the market refuses to pay up for it.</t>
        </is>
      </c>
      <c r="O6" s="4" t="inlineStr">
        <is>
          <t>Sunglasses and phone cases never sleep.</t>
        </is>
      </c>
    </row>
    <row r="7">
      <c r="A7" s="4" t="inlineStr">
        <is>
          <t>VEN_IND_WORKSHOP</t>
        </is>
      </c>
      <c r="B7" s="4" t="inlineStr">
        <is>
          <t>Machine Shop</t>
        </is>
      </c>
      <c r="C7" s="4" t="inlineStr">
        <is>
          <t>venture</t>
        </is>
      </c>
      <c r="D7" s="4" t="inlineStr">
        <is>
          <t>INDUSTRIAL</t>
        </is>
      </c>
      <c r="E7" s="4" t="inlineStr">
        <is>
          <t>common</t>
        </is>
      </c>
      <c r="F7" s="4" t="n">
        <v>1</v>
      </c>
      <c r="G7" s="4" t="inlineStr">
        <is>
          <t>{"cash": 1000000, "debt": 0, "dilution": 0}</t>
        </is>
      </c>
      <c r="H7" s="4" t="n">
        <v>450000</v>
      </c>
      <c r="I7" s="4" t="n">
        <v>8000</v>
      </c>
      <c r="J7" s="4" t="n"/>
      <c r="K7" s="4" t="n">
        <v>10000</v>
      </c>
      <c r="L7" s="4" t="n">
        <v>-1000000</v>
      </c>
      <c r="M7" s="12" t="inlineStr">
        <is>
          <t>Y</t>
        </is>
      </c>
      <c r="N7" s="4" t="inlineStr">
        <is>
          <t>Industrial is the defensive anchor: a solid mid multiple that barely moves in a crash. Slow, heavy, hard to kill.</t>
        </is>
      </c>
      <c r="O7" s="4" t="inlineStr">
        <is>
          <t>Steel doesn't care about the hype cycle.</t>
        </is>
      </c>
    </row>
    <row r="8">
      <c r="A8" s="4" t="inlineStr">
        <is>
          <t>VEN_SW_PLATFORM</t>
        </is>
      </c>
      <c r="B8" s="4" t="inlineStr">
        <is>
          <t>Vertical SaaS Platform</t>
        </is>
      </c>
      <c r="C8" s="4" t="inlineStr">
        <is>
          <t>venture</t>
        </is>
      </c>
      <c r="D8" s="4" t="inlineStr">
        <is>
          <t>SOFTWARE</t>
        </is>
      </c>
      <c r="E8" s="4" t="inlineStr">
        <is>
          <t>uncommon</t>
        </is>
      </c>
      <c r="F8" s="4" t="n">
        <v>2</v>
      </c>
      <c r="G8" s="4" t="inlineStr">
        <is>
          <t>{"cash": 6000000, "debt": 0, "dilution": 0}</t>
        </is>
      </c>
      <c r="H8" s="4" t="n">
        <v>1800000</v>
      </c>
      <c r="I8" s="4" t="n">
        <v>14000</v>
      </c>
      <c r="J8" s="4" t="n"/>
      <c r="K8" s="4" t="n">
        <v>10000</v>
      </c>
      <c r="L8" s="4" t="n">
        <v>-6000000</v>
      </c>
      <c r="M8" s="4" t="inlineStr"/>
      <c r="N8" s="4" t="inlineStr">
        <is>
          <t>A real software platform is the ideal roll-up base: high multiple means every cheap add-on you bolt on instantly revalues up.</t>
        </is>
      </c>
      <c r="O8" s="4" t="inlineStr">
        <is>
          <t>It's not a feature, it's a category.</t>
        </is>
      </c>
    </row>
    <row r="9">
      <c r="A9" s="4" t="inlineStr">
        <is>
          <t>ADD_SW_PLUGIN</t>
        </is>
      </c>
      <c r="B9" s="4" t="inlineStr">
        <is>
          <t>Bolt-on Plugin Co</t>
        </is>
      </c>
      <c r="C9" s="4" t="inlineStr">
        <is>
          <t>addon</t>
        </is>
      </c>
      <c r="D9" s="4" t="inlineStr">
        <is>
          <t>SOFTWARE</t>
        </is>
      </c>
      <c r="E9" s="4" t="inlineStr">
        <is>
          <t>common</t>
        </is>
      </c>
      <c r="F9" s="4" t="n">
        <v>1</v>
      </c>
      <c r="G9" s="4" t="inlineStr">
        <is>
          <t>{"cash": 900000, "debt": 0, "dilution": 0}</t>
        </is>
      </c>
      <c r="H9" s="4" t="n">
        <v>300000</v>
      </c>
      <c r="I9" s="4" t="n"/>
      <c r="J9" s="4" t="n"/>
      <c r="K9" s="4" t="n"/>
      <c r="L9" s="4" t="n">
        <v>-900000</v>
      </c>
      <c r="M9" s="12" t="inlineStr">
        <is>
          <t>Y</t>
        </is>
      </c>
      <c r="N9" s="4" t="inlineStr">
        <is>
          <t>MULTIPLE ARBITRAGE: bought at the platform's high multiple, its earnings revalue up the instant it merges. Same-sector adds a +20% synergy bonus on top.</t>
        </is>
      </c>
      <c r="O9" s="4" t="inlineStr">
        <is>
          <t>Why build it when you can buy the team that already did?</t>
        </is>
      </c>
    </row>
    <row r="10">
      <c r="A10" s="4" t="inlineStr">
        <is>
          <t>ADD_SW_MICRO</t>
        </is>
      </c>
      <c r="B10" s="4" t="inlineStr">
        <is>
          <t>Micro-SaaS Tuck-in</t>
        </is>
      </c>
      <c r="C10" s="4" t="inlineStr">
        <is>
          <t>addon</t>
        </is>
      </c>
      <c r="D10" s="4" t="inlineStr">
        <is>
          <t>SOFTWARE</t>
        </is>
      </c>
      <c r="E10" s="4" t="inlineStr">
        <is>
          <t>common</t>
        </is>
      </c>
      <c r="F10" s="4" t="n">
        <v>1</v>
      </c>
      <c r="G10" s="4" t="inlineStr">
        <is>
          <t>{"cash": 500000, "debt": 0, "dilution": 0}</t>
        </is>
      </c>
      <c r="H10" s="4" t="n">
        <v>180000</v>
      </c>
      <c r="I10" s="4" t="n"/>
      <c r="J10" s="4" t="n"/>
      <c r="K10" s="4" t="n"/>
      <c r="L10" s="4" t="n">
        <v>-500000</v>
      </c>
      <c r="M10" s="12" t="inlineStr">
        <is>
          <t>Y</t>
        </is>
      </c>
      <c r="N10" s="4" t="inlineStr">
        <is>
          <t>Small same-sector tuck-ins are the cleanest accretion: tiny price, instant revaluation, synergy bonus, no multiple drag.</t>
        </is>
      </c>
      <c r="O10" s="4" t="inlineStr">
        <is>
          <t>One founder, one product, one tired Stripe account.</t>
        </is>
      </c>
    </row>
    <row r="11">
      <c r="A11" s="4" t="inlineStr">
        <is>
          <t>ADD_SVC_TEAM</t>
        </is>
      </c>
      <c r="B11" s="4" t="inlineStr">
        <is>
          <t>Implementation Team</t>
        </is>
      </c>
      <c r="C11" s="4" t="inlineStr">
        <is>
          <t>addon</t>
        </is>
      </c>
      <c r="D11" s="4" t="inlineStr">
        <is>
          <t>SERVICES</t>
        </is>
      </c>
      <c r="E11" s="4" t="inlineStr">
        <is>
          <t>common</t>
        </is>
      </c>
      <c r="F11" s="4" t="n">
        <v>2</v>
      </c>
      <c r="G11" s="4" t="inlineStr">
        <is>
          <t>{"cash": 700000, "debt": 0, "dilution": 0}</t>
        </is>
      </c>
      <c r="H11" s="4" t="n">
        <v>350000</v>
      </c>
      <c r="I11" s="4" t="n">
        <v>-640</v>
      </c>
      <c r="J11" s="4" t="n"/>
      <c r="K11" s="4" t="n"/>
      <c r="L11" s="4" t="n">
        <v>-700000</v>
      </c>
      <c r="M11" s="12" t="inlineStr">
        <is>
          <t>Y</t>
        </is>
      </c>
      <c r="N11" s="4" t="inlineStr">
        <is>
          <t>Cross-sector bolt-ons earn ZERO synergy and DRAG your platform multiple down 8% (conglomerate discount). Junk-drawer roll-ups self-limit.</t>
        </is>
      </c>
      <c r="O11" s="4" t="inlineStr">
        <is>
          <t>Sure, bolt the consultants onto the software co. What could go wrong?</t>
        </is>
      </c>
    </row>
    <row r="12">
      <c r="A12" s="4" t="inlineStr">
        <is>
          <t>ADD_RET_STORES</t>
        </is>
      </c>
      <c r="B12" s="4" t="inlineStr">
        <is>
          <t>Regional Store Group</t>
        </is>
      </c>
      <c r="C12" s="4" t="inlineStr">
        <is>
          <t>addon</t>
        </is>
      </c>
      <c r="D12" s="4" t="inlineStr">
        <is>
          <t>RETAIL</t>
        </is>
      </c>
      <c r="E12" s="4" t="inlineStr">
        <is>
          <t>uncommon</t>
        </is>
      </c>
      <c r="F12" s="4" t="n">
        <v>2</v>
      </c>
      <c r="G12" s="4" t="inlineStr">
        <is>
          <t>{"cash": 1100000, "debt": 400000, "dilution": 0}</t>
        </is>
      </c>
      <c r="H12" s="4" t="n">
        <v>600000</v>
      </c>
      <c r="I12" s="4" t="n">
        <v>-640</v>
      </c>
      <c r="J12" s="4" t="n">
        <v>400000</v>
      </c>
      <c r="K12" s="4" t="n"/>
      <c r="L12" s="4" t="n">
        <v>-1100000</v>
      </c>
      <c r="M12" s="4" t="inlineStr"/>
      <c r="N12" s="4" t="inlineStr">
        <is>
          <t>A cheap cash-rich target looks great until you see the multiple drag and the debt you inherit. Cross-sector accretion is a trap if the platform was your story.</t>
        </is>
      </c>
      <c r="O12" s="4" t="inlineStr">
        <is>
          <t>Lots of revenue, lots of leases, lots of regret.</t>
        </is>
      </c>
    </row>
    <row r="13">
      <c r="A13" s="4" t="inlineStr">
        <is>
          <t>ADD_IND_SUPPLIER</t>
        </is>
      </c>
      <c r="B13" s="4" t="inlineStr">
        <is>
          <t>Upstream Supplier</t>
        </is>
      </c>
      <c r="C13" s="4" t="inlineStr">
        <is>
          <t>addon</t>
        </is>
      </c>
      <c r="D13" s="4" t="inlineStr">
        <is>
          <t>INDUSTRIAL</t>
        </is>
      </c>
      <c r="E13" s="4" t="inlineStr">
        <is>
          <t>uncommon</t>
        </is>
      </c>
      <c r="F13" s="4" t="n">
        <v>3</v>
      </c>
      <c r="G13" s="4" t="inlineStr">
        <is>
          <t>{"cash": 2200000, "debt": 800000, "dilution": 0}</t>
        </is>
      </c>
      <c r="H13" s="4" t="n">
        <v>900000</v>
      </c>
      <c r="I13" s="4" t="n"/>
      <c r="J13" s="4" t="n">
        <v>800000</v>
      </c>
      <c r="K13" s="4" t="n"/>
      <c r="L13" s="4" t="n">
        <v>-2200000</v>
      </c>
      <c r="M13" s="4" t="inlineStr"/>
      <c r="N13" s="4" t="inlineStr">
        <is>
          <t>Same-sector vertical integration: synergy fires (+20%) and the multiple holds. Buying your own supply chain is accretive when it's in-sector.</t>
        </is>
      </c>
      <c r="O13" s="4" t="inlineStr">
        <is>
          <t>Own the bottleneck, own the margin.</t>
        </is>
      </c>
    </row>
    <row r="14">
      <c r="A14" s="4" t="inlineStr">
        <is>
          <t>PRT_SALES_LEAD</t>
        </is>
      </c>
      <c r="B14" s="4" t="inlineStr">
        <is>
          <t>VP of Sales</t>
        </is>
      </c>
      <c r="C14" s="4" t="inlineStr">
        <is>
          <t>partner</t>
        </is>
      </c>
      <c r="D14" s="4" t="n"/>
      <c r="E14" s="4" t="inlineStr">
        <is>
          <t>common</t>
        </is>
      </c>
      <c r="F14" s="4" t="n">
        <v>1</v>
      </c>
      <c r="G14" s="4" t="inlineStr">
        <is>
          <t>{"cash": 600000, "debt": 0, "dilution": 0}</t>
        </is>
      </c>
      <c r="H14" s="4" t="n">
        <v>150000</v>
      </c>
      <c r="I14" s="4" t="n"/>
      <c r="J14" s="4" t="n"/>
      <c r="K14" s="4" t="n"/>
      <c r="L14" s="4" t="n">
        <v>-600000</v>
      </c>
      <c r="M14" s="12" t="inlineStr">
        <is>
          <t>Y</t>
        </is>
      </c>
      <c r="N14" s="4" t="inlineStr">
        <is>
          <t>An operating partner is the slow organic compounder: a permanent +EBITDA engine every round. No leverage, no dilution, just grind.</t>
        </is>
      </c>
      <c r="O14" s="4" t="inlineStr">
        <is>
          <t>She closes deals you didn't know existed.</t>
        </is>
      </c>
    </row>
    <row r="15">
      <c r="A15" s="4" t="inlineStr">
        <is>
          <t>PRT_COO_FIXED</t>
        </is>
      </c>
      <c r="B15" s="4" t="inlineStr">
        <is>
          <t>COO (fixed cost)</t>
        </is>
      </c>
      <c r="C15" s="4" t="inlineStr">
        <is>
          <t>partner</t>
        </is>
      </c>
      <c r="D15" s="4" t="n"/>
      <c r="E15" s="4" t="inlineStr">
        <is>
          <t>uncommon</t>
        </is>
      </c>
      <c r="F15" s="4" t="n">
        <v>2</v>
      </c>
      <c r="G15" s="4" t="inlineStr">
        <is>
          <t>{"cash": 900000, "debt": 0, "dilution": 0}</t>
        </is>
      </c>
      <c r="H15" s="4" t="n">
        <v>450000</v>
      </c>
      <c r="I15" s="4" t="n"/>
      <c r="J15" s="4" t="n"/>
      <c r="K15" s="4" t="n"/>
      <c r="L15" s="4" t="n">
        <v>-900000</v>
      </c>
      <c r="M15" s="4" t="inlineStr"/>
      <c r="N15" s="4" t="inlineStr">
        <is>
          <t>OPERATING LEVERAGE: a big +EBITDA engine that carries a recurring fixed salary. Glorious at scale, lethal when earnings are thin.</t>
        </is>
      </c>
      <c r="O15" s="4" t="inlineStr">
        <is>
          <t>Worth every penny. Until the quarter you can't pay him.</t>
        </is>
      </c>
    </row>
    <row r="16">
      <c r="A16" s="4" t="inlineStr">
        <is>
          <t>PRT_GROWTH_HACKER</t>
        </is>
      </c>
      <c r="B16" s="4" t="inlineStr">
        <is>
          <t>Growth Lead</t>
        </is>
      </c>
      <c r="C16" s="4" t="inlineStr">
        <is>
          <t>partner</t>
        </is>
      </c>
      <c r="D16" s="4" t="inlineStr">
        <is>
          <t>SOFTWARE</t>
        </is>
      </c>
      <c r="E16" s="4" t="inlineStr">
        <is>
          <t>uncommon</t>
        </is>
      </c>
      <c r="F16" s="4" t="n">
        <v>2</v>
      </c>
      <c r="G16" s="4" t="inlineStr">
        <is>
          <t>{"cash": 750000, "debt": 0, "dilution": 0}</t>
        </is>
      </c>
      <c r="H16" s="4" t="n">
        <v>120000</v>
      </c>
      <c r="I16" s="4" t="n">
        <v>500</v>
      </c>
      <c r="J16" s="4" t="n"/>
      <c r="K16" s="4" t="n"/>
      <c r="L16" s="4" t="n">
        <v>-750000</v>
      </c>
      <c r="M16" s="4" t="inlineStr"/>
      <c r="N16" s="4" t="inlineStr">
        <is>
          <t>Some hires don't just grow earnings, they buy a sliver of story (a small multiple bump). Software rewards narrative more than any other sector.</t>
        </is>
      </c>
      <c r="O16" s="4" t="inlineStr">
        <is>
          <t>Half growth, half vibes, fully expensive.</t>
        </is>
      </c>
    </row>
    <row r="17">
      <c r="A17" s="4" t="inlineStr">
        <is>
          <t>FIN_SEED_RAISE</t>
        </is>
      </c>
      <c r="B17" s="4" t="inlineStr">
        <is>
          <t>Seed Round</t>
        </is>
      </c>
      <c r="C17" s="4" t="inlineStr">
        <is>
          <t>financing</t>
        </is>
      </c>
      <c r="D17" s="4" t="n"/>
      <c r="E17" s="4" t="inlineStr">
        <is>
          <t>common</t>
        </is>
      </c>
      <c r="F17" s="4" t="n">
        <v>2</v>
      </c>
      <c r="G17" s="4" t="inlineStr">
        <is>
          <t>{"cash": 0, "debt": 0, "dilution": 1500}</t>
        </is>
      </c>
      <c r="H17" s="4" t="n">
        <v>200000</v>
      </c>
      <c r="I17" s="4" t="n">
        <v>1000</v>
      </c>
      <c r="J17" s="4" t="n"/>
      <c r="K17" s="4" t="n"/>
      <c r="L17" s="4" t="n">
        <v>3000000</v>
      </c>
      <c r="M17" s="12" t="inlineStr">
        <is>
          <t>Y</t>
        </is>
      </c>
      <c r="N17" s="4" t="inlineStr">
        <is>
          <t>DILUTION (Tension A): raising grows the pie (cash + EBITDA + a little story) but the engine recomputes your ownership down on real cap-table math. A smaller slice of a bigger pie.</t>
        </is>
      </c>
      <c r="O17" s="4" t="inlineStr">
        <is>
          <t>Congratulations on your new bosses.</t>
        </is>
      </c>
    </row>
    <row r="18">
      <c r="A18" s="4" t="inlineStr">
        <is>
          <t>FIN_GROWTH_RAISE</t>
        </is>
      </c>
      <c r="B18" s="4" t="inlineStr">
        <is>
          <t>Series A</t>
        </is>
      </c>
      <c r="C18" s="4" t="inlineStr">
        <is>
          <t>financing</t>
        </is>
      </c>
      <c r="D18" s="4" t="n"/>
      <c r="E18" s="4" t="inlineStr">
        <is>
          <t>uncommon</t>
        </is>
      </c>
      <c r="F18" s="4" t="n">
        <v>2</v>
      </c>
      <c r="G18" s="4" t="inlineStr">
        <is>
          <t>{"cash": 0, "debt": 0, "dilution": 2000}</t>
        </is>
      </c>
      <c r="H18" s="4" t="n">
        <v>500000</v>
      </c>
      <c r="I18" s="4" t="n">
        <v>2000</v>
      </c>
      <c r="J18" s="4" t="n"/>
      <c r="K18" s="4" t="n"/>
      <c r="L18" s="4" t="n">
        <v>8000000</v>
      </c>
      <c r="M18" s="4" t="inlineStr"/>
      <c r="N18" s="4" t="inlineStr">
        <is>
          <t>Bigger raises buy more growth and more story but cut deeper into ownership. The diluted founder who 10x'd the company and barely moved their own net worth is the cautionary tale.</t>
        </is>
      </c>
      <c r="O18" s="4" t="inlineStr">
        <is>
          <t>Up and to the right. Down and to the left for your cap table.</t>
        </is>
      </c>
    </row>
    <row r="19">
      <c r="A19" s="4" t="inlineStr">
        <is>
          <t>FIN_TERM_LOAN</t>
        </is>
      </c>
      <c r="B19" s="4" t="inlineStr">
        <is>
          <t>Term Loan</t>
        </is>
      </c>
      <c r="C19" s="4" t="inlineStr">
        <is>
          <t>financing</t>
        </is>
      </c>
      <c r="D19" s="4" t="n"/>
      <c r="E19" s="4" t="inlineStr">
        <is>
          <t>common</t>
        </is>
      </c>
      <c r="F19" s="4" t="n">
        <v>1</v>
      </c>
      <c r="G19" s="4" t="inlineStr">
        <is>
          <t>{"cash": 0, "debt": 1500000, "dilution": 0}</t>
        </is>
      </c>
      <c r="H19" s="4" t="n"/>
      <c r="I19" s="4" t="n"/>
      <c r="J19" s="4" t="n">
        <v>1500000</v>
      </c>
      <c r="K19" s="4" t="n"/>
      <c r="L19" s="4" t="n">
        <v>1500000</v>
      </c>
      <c r="M19" s="12" t="inlineStr">
        <is>
          <t>Y</t>
        </is>
      </c>
      <c r="N19" s="4" t="inlineStr">
        <is>
          <t>LEVERAGE magnifies both ways: cash now, but a flat interest bill charged every round forever. No dilution. Over-borrow into a crunch and the interest kills you.</t>
        </is>
      </c>
      <c r="O19" s="4" t="inlineStr">
        <is>
          <t>The bank believes in you. The bank always believes in you.</t>
        </is>
      </c>
    </row>
    <row r="20">
      <c r="A20" s="4" t="inlineStr">
        <is>
          <t>FIN_LBO_LOAN</t>
        </is>
      </c>
      <c r="B20" s="4" t="inlineStr">
        <is>
          <t>Acquisition Facility</t>
        </is>
      </c>
      <c r="C20" s="4" t="inlineStr">
        <is>
          <t>financing</t>
        </is>
      </c>
      <c r="D20" s="4" t="n"/>
      <c r="E20" s="4" t="inlineStr">
        <is>
          <t>rare</t>
        </is>
      </c>
      <c r="F20" s="4" t="n">
        <v>4</v>
      </c>
      <c r="G20" s="4" t="inlineStr">
        <is>
          <t>{"cash": 0, "debt": 20000000, "dilution": 0}</t>
        </is>
      </c>
      <c r="H20" s="4" t="n"/>
      <c r="I20" s="4" t="n"/>
      <c r="J20" s="4" t="n">
        <v>20000000</v>
      </c>
      <c r="K20" s="4" t="n"/>
      <c r="L20" s="4" t="n">
        <v>20000000</v>
      </c>
      <c r="M20" s="4" t="inlineStr"/>
      <c r="N20" s="4" t="inlineStr">
        <is>
          <t>The LBO lever: huge debt-funded firepower to acquire as the money. Magnified equity returns AND magnified risk. This is how empires are built and how they blow up.</t>
        </is>
      </c>
      <c r="O20" s="4" t="inlineStr">
        <is>
          <t>You are now the one writing the checks. Try not to bounce them.</t>
        </is>
      </c>
    </row>
    <row r="21">
      <c r="A21" s="4" t="inlineStr">
        <is>
          <t>FIN_REFI</t>
        </is>
      </c>
      <c r="B21" s="4" t="inlineStr">
        <is>
          <t>Refinancing</t>
        </is>
      </c>
      <c r="C21" s="4" t="inlineStr">
        <is>
          <t>financing</t>
        </is>
      </c>
      <c r="D21" s="4" t="n"/>
      <c r="E21" s="4" t="inlineStr">
        <is>
          <t>uncommon</t>
        </is>
      </c>
      <c r="F21" s="4" t="n">
        <v>3</v>
      </c>
      <c r="G21" s="4" t="inlineStr">
        <is>
          <t>{"cash": 300000, "debt": 0, "dilution": 0}</t>
        </is>
      </c>
      <c r="H21" s="4" t="n"/>
      <c r="I21" s="4" t="n"/>
      <c r="J21" s="4" t="n">
        <v>-2500000</v>
      </c>
      <c r="K21" s="4" t="n"/>
      <c r="L21" s="4" t="n">
        <v>-300000</v>
      </c>
      <c r="M21" s="4" t="inlineStr"/>
      <c r="N21" s="4" t="inlineStr">
        <is>
          <t>Refi pays a fee now to retire a chunk of net debt, shrinking the recurring interest bill. The unsexy move that keeps a levered run alive.</t>
        </is>
      </c>
      <c r="O21" s="4" t="inlineStr">
        <is>
          <t>Boring. Survival usually is.</t>
        </is>
      </c>
    </row>
    <row r="22">
      <c r="A22" s="4" t="inlineStr">
        <is>
          <t>EVT_SECTOR_BUBBLE</t>
        </is>
      </c>
      <c r="B22" s="4" t="inlineStr">
        <is>
          <t>Sector Bubble</t>
        </is>
      </c>
      <c r="C22" s="4" t="inlineStr">
        <is>
          <t>event</t>
        </is>
      </c>
      <c r="D22" s="4" t="inlineStr">
        <is>
          <t>SOFTWARE</t>
        </is>
      </c>
      <c r="E22" s="4" t="inlineStr">
        <is>
          <t>uncommon</t>
        </is>
      </c>
      <c r="F22" s="4" t="n">
        <v>1</v>
      </c>
      <c r="G22" s="4" t="inlineStr">
        <is>
          <t>{"cash": 0, "debt": 0, "dilution": 0}</t>
        </is>
      </c>
      <c r="H22" s="4" t="n"/>
      <c r="I22" s="4" t="n">
        <v>4200</v>
      </c>
      <c r="J22" s="4" t="n"/>
      <c r="K22" s="4" t="n"/>
      <c r="L22" s="4" t="n"/>
      <c r="M22" s="12" t="inlineStr">
        <is>
          <t>Y</t>
        </is>
      </c>
      <c r="N22" s="4" t="inlineStr">
        <is>
          <t>Multiple expansion is exogenous weather, not something you manufacture. A bubble revalues you up for free: sell, don't buy. It will not last.</t>
        </is>
      </c>
      <c r="O22" s="4" t="inlineStr">
        <is>
          <t>Everything is a 15x. Nothing is real. Get out.</t>
        </is>
      </c>
    </row>
    <row r="23">
      <c r="A23" s="4" t="inlineStr">
        <is>
          <t>EVT_CREDIT_CRUNCH</t>
        </is>
      </c>
      <c r="B23" s="4" t="inlineStr">
        <is>
          <t>Credit Crunch</t>
        </is>
      </c>
      <c r="C23" s="4" t="inlineStr">
        <is>
          <t>event</t>
        </is>
      </c>
      <c r="D23" s="4" t="n"/>
      <c r="E23" s="4" t="inlineStr">
        <is>
          <t>uncommon</t>
        </is>
      </c>
      <c r="F23" s="4" t="n">
        <v>1</v>
      </c>
      <c r="G23" s="4" t="inlineStr">
        <is>
          <t>{"cash": 0, "debt": 0, "dilution": 0}</t>
        </is>
      </c>
      <c r="H23" s="4" t="n"/>
      <c r="I23" s="4" t="n">
        <v>-2800</v>
      </c>
      <c r="J23" s="4" t="n"/>
      <c r="K23" s="4" t="n"/>
      <c r="L23" s="4" t="n"/>
      <c r="M23" s="12" t="inlineStr">
        <is>
          <t>Y</t>
        </is>
      </c>
      <c r="N23" s="4" t="inlineStr">
        <is>
          <t>Crunches compress multiples and spike interest while disabling new financing. The over-levered die here; this is what the runway gauge warns you about a round early.</t>
        </is>
      </c>
      <c r="O23" s="4" t="inlineStr">
        <is>
          <t>The music stopped. Hope you have a chair.</t>
        </is>
      </c>
    </row>
    <row r="24">
      <c r="A24" s="4" t="inlineStr">
        <is>
          <t>EVT_KEY_CLIENT_LOSS</t>
        </is>
      </c>
      <c r="B24" s="4" t="inlineStr">
        <is>
          <t>Lost a Whale Client</t>
        </is>
      </c>
      <c r="C24" s="4" t="inlineStr">
        <is>
          <t>event</t>
        </is>
      </c>
      <c r="D24" s="4" t="inlineStr">
        <is>
          <t>SERVICES</t>
        </is>
      </c>
      <c r="E24" s="4" t="inlineStr">
        <is>
          <t>common</t>
        </is>
      </c>
      <c r="F24" s="4" t="n">
        <v>1</v>
      </c>
      <c r="G24" s="4" t="inlineStr">
        <is>
          <t>{"cash": 0, "debt": 0, "dilution": 0}</t>
        </is>
      </c>
      <c r="H24" s="4" t="n">
        <v>-250000</v>
      </c>
      <c r="I24" s="4" t="n"/>
      <c r="J24" s="4" t="n"/>
      <c r="K24" s="4" t="n"/>
      <c r="L24" s="4" t="n"/>
      <c r="M24" s="12" t="inlineStr">
        <is>
          <t>Y</t>
        </is>
      </c>
      <c r="N24" s="4" t="inlineStr">
        <is>
          <t>Concentration risk: spiky labor-heavy sectors lose earnings in chunks. A monoculture is fragile; this is the case for diversification at scale.</t>
        </is>
      </c>
      <c r="O24" s="4" t="inlineStr">
        <is>
          <t>They went 'in a different direction.' The direction was your competitor.</t>
        </is>
      </c>
    </row>
    <row r="25">
      <c r="A25" s="4" t="inlineStr">
        <is>
          <t>EVT_VIRAL_QUARTER</t>
        </is>
      </c>
      <c r="B25" s="4" t="inlineStr">
        <is>
          <t>Viral Quarter</t>
        </is>
      </c>
      <c r="C25" s="4" t="inlineStr">
        <is>
          <t>event</t>
        </is>
      </c>
      <c r="D25" s="4" t="inlineStr">
        <is>
          <t>RETAIL</t>
        </is>
      </c>
      <c r="E25" s="4" t="inlineStr">
        <is>
          <t>common</t>
        </is>
      </c>
      <c r="F25" s="4" t="n">
        <v>1</v>
      </c>
      <c r="G25" s="4" t="inlineStr">
        <is>
          <t>{"cash": 0, "debt": 0, "dilution": 0}</t>
        </is>
      </c>
      <c r="H25" s="4" t="n">
        <v>100000</v>
      </c>
      <c r="I25" s="4" t="n"/>
      <c r="J25" s="4" t="n"/>
      <c r="K25" s="4" t="n"/>
      <c r="L25" s="4" t="n">
        <v>600000</v>
      </c>
      <c r="M25" s="4" t="inlineStr"/>
      <c r="N25" s="4" t="inlineStr">
        <is>
          <t>Good events still route through the five inputs, never a flat +score. A windfall is just cash and a little earnings; the multiple shrugs.</t>
        </is>
      </c>
      <c r="O25" s="4" t="inlineStr">
        <is>
          <t>TikTok found you. Enjoy it while it lasts.</t>
        </is>
      </c>
    </row>
    <row r="26">
      <c r="A26" s="4" t="inlineStr">
        <is>
          <t>EVT_SUPPLY_SHOCK</t>
        </is>
      </c>
      <c r="B26" s="4" t="inlineStr">
        <is>
          <t>Supply Shock</t>
        </is>
      </c>
      <c r="C26" s="4" t="inlineStr">
        <is>
          <t>event</t>
        </is>
      </c>
      <c r="D26" s="4" t="inlineStr">
        <is>
          <t>INDUSTRIAL</t>
        </is>
      </c>
      <c r="E26" s="4" t="inlineStr">
        <is>
          <t>common</t>
        </is>
      </c>
      <c r="F26" s="4" t="n">
        <v>2</v>
      </c>
      <c r="G26" s="4" t="inlineStr">
        <is>
          <t>{"cash": 0, "debt": 0, "dilution": 0}</t>
        </is>
      </c>
      <c r="H26" s="4" t="n">
        <v>-180000</v>
      </c>
      <c r="I26" s="4" t="n">
        <v>-400</v>
      </c>
      <c r="J26" s="4" t="n"/>
      <c r="K26" s="4" t="n"/>
      <c r="L26" s="4" t="n"/>
      <c r="M26" s="4" t="inlineStr"/>
      <c r="N26" s="4" t="inlineStr">
        <is>
          <t>Even crash-resistant industrials wobble on input costs, but only mildly. Low volatility means small deltas, both ways.</t>
        </is>
      </c>
      <c r="O26" s="4" t="inlineStr">
        <is>
          <t>The price of steel did a thing. It always does a thing.</t>
        </is>
      </c>
    </row>
    <row r="27">
      <c r="A27" s="4" t="inlineStr">
        <is>
          <t>PLY_BRIDGE_LOAN</t>
        </is>
      </c>
      <c r="B27" s="4" t="inlineStr">
        <is>
          <t>Bridge Loan</t>
        </is>
      </c>
      <c r="C27" s="4" t="inlineStr">
        <is>
          <t>consumable</t>
        </is>
      </c>
      <c r="D27" s="4" t="n"/>
      <c r="E27" s="4" t="inlineStr">
        <is>
          <t>common</t>
        </is>
      </c>
      <c r="F27" s="4" t="n">
        <v>1</v>
      </c>
      <c r="G27" s="4" t="inlineStr">
        <is>
          <t>{"cash": 200000, "debt": 0, "dilution": 0}</t>
        </is>
      </c>
      <c r="H27" s="4" t="n"/>
      <c r="I27" s="4" t="n"/>
      <c r="J27" s="4" t="n">
        <v>1150000</v>
      </c>
      <c r="K27" s="4" t="n"/>
      <c r="L27" s="4" t="n">
        <v>1000000</v>
      </c>
      <c r="M27" s="12" t="inlineStr">
        <is>
          <t>Y</t>
        </is>
      </c>
      <c r="N27" s="4" t="inlineStr">
        <is>
          <t>Cash now at a premium later: you take 1.0 and owe 1.15 in debt. Liquidity has a price, and bridges are the most expensive bridge to nowhere if you can't refinance.</t>
        </is>
      </c>
      <c r="O27" s="4" t="inlineStr">
        <is>
          <t>It's only temporary. They all say that.</t>
        </is>
      </c>
    </row>
    <row r="28">
      <c r="A28" s="4" t="inlineStr">
        <is>
          <t>PLY_SECONDARY_SALE</t>
        </is>
      </c>
      <c r="B28" s="4" t="inlineStr">
        <is>
          <t>Secondary Sale</t>
        </is>
      </c>
      <c r="C28" s="4" t="inlineStr">
        <is>
          <t>consumable</t>
        </is>
      </c>
      <c r="D28" s="4" t="n"/>
      <c r="E28" s="4" t="inlineStr">
        <is>
          <t>common</t>
        </is>
      </c>
      <c r="F28" s="4" t="n">
        <v>1</v>
      </c>
      <c r="G28" s="4" t="inlineStr">
        <is>
          <t>{"cash": 150000, "debt": 0, "dilution": 0}</t>
        </is>
      </c>
      <c r="H28" s="4" t="n"/>
      <c r="I28" s="4" t="n"/>
      <c r="J28" s="4" t="n"/>
      <c r="K28" s="4" t="n">
        <v>-1000</v>
      </c>
      <c r="L28" s="4" t="n">
        <v>0</v>
      </c>
      <c r="M28" s="12" t="inlineStr">
        <is>
          <t>Y</t>
        </is>
      </c>
      <c r="N28" s="4" t="inlineStr">
        <is>
          <t>PAPER vs REAL (Tension B): sell a slice of ownership at the live mark to bank guaranteed cash. The prudent player's hedge against their own greed. Proceeds are computed from venture equity at resolve time.</t>
        </is>
      </c>
      <c r="O28" s="4" t="inlineStr">
        <is>
          <t>Take some chips off the table. You earned them. Probably.</t>
        </is>
      </c>
    </row>
    <row r="29">
      <c r="A29" s="4" t="inlineStr">
        <is>
          <t>PLY_DOWN_ROUND</t>
        </is>
      </c>
      <c r="B29" s="4" t="inlineStr">
        <is>
          <t>Down Round</t>
        </is>
      </c>
      <c r="C29" s="4" t="inlineStr">
        <is>
          <t>consumable</t>
        </is>
      </c>
      <c r="D29" s="4" t="n"/>
      <c r="E29" s="4" t="inlineStr">
        <is>
          <t>uncommon</t>
        </is>
      </c>
      <c r="F29" s="4" t="n">
        <v>1</v>
      </c>
      <c r="G29" s="4" t="inlineStr">
        <is>
          <t>{"cash": 0, "debt": 0, "dilution": 4000}</t>
        </is>
      </c>
      <c r="H29" s="4" t="n"/>
      <c r="I29" s="4" t="n"/>
      <c r="J29" s="4" t="n"/>
      <c r="K29" s="4" t="n">
        <v>-4000</v>
      </c>
      <c r="L29" s="4" t="n">
        <v>2500000</v>
      </c>
      <c r="M29" s="12" t="inlineStr">
        <is>
          <t>Y</t>
        </is>
      </c>
      <c r="N29" s="4" t="inlineStr">
        <is>
          <t>Desperation financing: cash now at brutal dilution. The single sharpest lesson in what selling too much too cheap actually costs your slice.</t>
        </is>
      </c>
      <c r="O29" s="4" t="inlineStr">
        <is>
          <t>Survival is a kind of victory. A small, sad kind.</t>
        </is>
      </c>
    </row>
    <row r="30">
      <c r="A30" s="4" t="inlineStr">
        <is>
          <t>PLY_TENDER</t>
        </is>
      </c>
      <c r="B30" s="4" t="inlineStr">
        <is>
          <t>Tender / Anti-dilution</t>
        </is>
      </c>
      <c r="C30" s="4" t="inlineStr">
        <is>
          <t>consumable</t>
        </is>
      </c>
      <c r="D30" s="4" t="n"/>
      <c r="E30" s="4" t="inlineStr">
        <is>
          <t>uncommon</t>
        </is>
      </c>
      <c r="F30" s="4" t="n">
        <v>2</v>
      </c>
      <c r="G30" s="4" t="inlineStr">
        <is>
          <t>{"cash": 2000000, "debt": 0, "dilution": 0}</t>
        </is>
      </c>
      <c r="H30" s="4" t="n"/>
      <c r="I30" s="4" t="n"/>
      <c r="J30" s="4" t="n"/>
      <c r="K30" s="4" t="n">
        <v>1500</v>
      </c>
      <c r="L30" s="4" t="n">
        <v>-2000000</v>
      </c>
      <c r="M30" s="4" t="inlineStr"/>
      <c r="N30" s="4" t="inlineStr">
        <is>
          <t>Buy your ownership back. The inverse of dilution: spend cash to widen your slice when you believe in the pie more than the market does.</t>
        </is>
      </c>
      <c r="O30" s="4" t="inlineStr">
        <is>
          <t>Mine. All of it. More of it.</t>
        </is>
      </c>
    </row>
    <row r="31">
      <c r="A31" s="4" t="inlineStr">
        <is>
          <t>PLY_DIVIDEND_RECAP</t>
        </is>
      </c>
      <c r="B31" s="4" t="inlineStr">
        <is>
          <t>Dividend Recap</t>
        </is>
      </c>
      <c r="C31" s="4" t="inlineStr">
        <is>
          <t>consumable</t>
        </is>
      </c>
      <c r="D31" s="4" t="n"/>
      <c r="E31" s="4" t="inlineStr">
        <is>
          <t>rare</t>
        </is>
      </c>
      <c r="F31" s="4" t="n">
        <v>2</v>
      </c>
      <c r="G31" s="4" t="inlineStr">
        <is>
          <t>{"cash": 0, "debt": 0, "dilution": 0}</t>
        </is>
      </c>
      <c r="H31" s="4" t="n"/>
      <c r="I31" s="4" t="n"/>
      <c r="J31" s="4" t="n">
        <v>3000000</v>
      </c>
      <c r="K31" s="4" t="n"/>
      <c r="L31" s="4" t="n">
        <v>3000000</v>
      </c>
      <c r="M31" s="12" t="inlineStr">
        <is>
          <t>Y</t>
        </is>
      </c>
      <c r="N31" s="4" t="inlineStr">
        <is>
          <t>GREED, weaponized: pull cash out as new debt = a share of EV, banked to your pocket as real money. Classic PE move, classic bankruptcy setup. The cash is yours; the interest is forever.</t>
        </is>
      </c>
      <c r="O31" s="4" t="inlineStr">
        <is>
          <t>Pay yourself first. The covenants can wait.</t>
        </is>
      </c>
    </row>
    <row r="32">
      <c r="A32" s="4" t="inlineStr">
        <is>
          <t>PLY_HOT_WINDOW</t>
        </is>
      </c>
      <c r="B32" s="4" t="inlineStr">
        <is>
          <t>Hot Window</t>
        </is>
      </c>
      <c r="C32" s="4" t="inlineStr">
        <is>
          <t>consumable</t>
        </is>
      </c>
      <c r="D32" s="4" t="n"/>
      <c r="E32" s="4" t="inlineStr">
        <is>
          <t>uncommon</t>
        </is>
      </c>
      <c r="F32" s="4" t="n">
        <v>2</v>
      </c>
      <c r="G32" s="4" t="inlineStr">
        <is>
          <t>{"cash": 500000, "debt": 0, "dilution": 0}</t>
        </is>
      </c>
      <c r="H32" s="4" t="n"/>
      <c r="I32" s="4" t="n"/>
      <c r="J32" s="4" t="n"/>
      <c r="K32" s="4" t="n"/>
      <c r="L32" s="4" t="n">
        <v>-500000</v>
      </c>
      <c r="M32" s="12" t="inlineStr">
        <is>
          <t>Y</t>
        </is>
      </c>
      <c r="N32" s="4" t="inlineStr">
        <is>
          <t>Exit timing made manual: arms the next exit to roll the high market multiple instead of the cold one. Reading and riding the window is the whole exit game.</t>
        </is>
      </c>
      <c r="O32" s="4" t="inlineStr">
        <is>
          <t>Strike while the market is dumb and rich.</t>
        </is>
      </c>
    </row>
    <row r="33">
      <c r="A33" s="4" t="inlineStr">
        <is>
          <t>PLY_ASSET_STRIP</t>
        </is>
      </c>
      <c r="B33" s="4" t="inlineStr">
        <is>
          <t>Asset Strip</t>
        </is>
      </c>
      <c r="C33" s="4" t="inlineStr">
        <is>
          <t>consumable</t>
        </is>
      </c>
      <c r="D33" s="4" t="n"/>
      <c r="E33" s="4" t="inlineStr">
        <is>
          <t>uncommon</t>
        </is>
      </c>
      <c r="F33" s="4" t="n">
        <v>2</v>
      </c>
      <c r="G33" s="4" t="inlineStr">
        <is>
          <t>{"cash": 0, "debt": 0, "dilution": 0}</t>
        </is>
      </c>
      <c r="H33" s="4" t="n">
        <v>-300000</v>
      </c>
      <c r="I33" s="4" t="n"/>
      <c r="J33" s="4" t="n"/>
      <c r="K33" s="4" t="n"/>
      <c r="L33" s="4" t="n">
        <v>1800000</v>
      </c>
      <c r="M33" s="4" t="inlineStr"/>
      <c r="N33" s="4" t="inlineStr">
        <is>
          <t>Sell the productive guts for cash: instant liquidity at the cost of permanent earnings. The opposite of building; sometimes the only way to make payroll.</t>
        </is>
      </c>
      <c r="O33" s="4" t="inlineStr">
        <is>
          <t>Sell the copper out of your own walls.</t>
        </is>
      </c>
    </row>
    <row r="34">
      <c r="A34" s="4" t="inlineStr">
        <is>
          <t>PLY_SPIN_OFF</t>
        </is>
      </c>
      <c r="B34" s="4" t="inlineStr">
        <is>
          <t>Spin-off</t>
        </is>
      </c>
      <c r="C34" s="4" t="inlineStr">
        <is>
          <t>consumable</t>
        </is>
      </c>
      <c r="D34" s="4" t="n"/>
      <c r="E34" s="4" t="inlineStr">
        <is>
          <t>uncommon</t>
        </is>
      </c>
      <c r="F34" s="4" t="n">
        <v>3</v>
      </c>
      <c r="G34" s="4" t="inlineStr">
        <is>
          <t>{"cash": 300000, "debt": 0, "dilution": 0}</t>
        </is>
      </c>
      <c r="H34" s="4" t="n"/>
      <c r="I34" s="4" t="n"/>
      <c r="J34" s="4" t="n"/>
      <c r="K34" s="4" t="n"/>
      <c r="L34" s="4" t="n">
        <v>-300000</v>
      </c>
      <c r="M34" s="4" t="inlineStr"/>
      <c r="N34" s="4" t="inlineStr">
        <is>
          <t>Split a bolted-on unit back out, re-marked to the platform's current multiple, and bank your share. Frees a slot and locks the value. Proceeds resolve from the add-on ledger.</t>
        </is>
      </c>
      <c r="O34" s="4" t="inlineStr">
        <is>
          <t>Unbundle the empire when the parts are worth more than the whole.</t>
        </is>
      </c>
    </row>
    <row r="35">
      <c r="A35" s="4" t="inlineStr">
        <is>
          <t>PLY_EARN_OUT</t>
        </is>
      </c>
      <c r="B35" s="4" t="inlineStr">
        <is>
          <t>Earn-out</t>
        </is>
      </c>
      <c r="C35" s="4" t="inlineStr">
        <is>
          <t>consumable</t>
        </is>
      </c>
      <c r="D35" s="4" t="n"/>
      <c r="E35" s="4" t="inlineStr">
        <is>
          <t>rare</t>
        </is>
      </c>
      <c r="F35" s="4" t="n">
        <v>3</v>
      </c>
      <c r="G35" s="4" t="inlineStr">
        <is>
          <t>{"cash": 0, "debt": 0, "dilution": 0}</t>
        </is>
      </c>
      <c r="H35" s="4" t="n">
        <v>500000</v>
      </c>
      <c r="I35" s="4" t="n"/>
      <c r="J35" s="4" t="n"/>
      <c r="K35" s="4" t="n"/>
      <c r="L35" s="4" t="n"/>
      <c r="M35" s="4" t="inlineStr"/>
      <c r="N35" s="4" t="inlineStr">
        <is>
          <t>Acquire for $0 down, pay the seller out of future earnings. No cash, no debt, no dilution upfront; the bill is a scheduled drag on cash over the next rounds. Buy now, sweat later.</t>
        </is>
      </c>
      <c r="O35" s="4" t="inlineStr">
        <is>
          <t>Zero down. The catch is always in the fine print's fine print.</t>
        </is>
      </c>
    </row>
    <row r="36">
      <c r="A36" s="4" t="inlineStr">
        <is>
          <t>PLY_MARKET_READ</t>
        </is>
      </c>
      <c r="B36" s="4" t="inlineStr">
        <is>
          <t>Market Read</t>
        </is>
      </c>
      <c r="C36" s="4" t="inlineStr">
        <is>
          <t>consumable</t>
        </is>
      </c>
      <c r="D36" s="4" t="n"/>
      <c r="E36" s="4" t="inlineStr">
        <is>
          <t>common</t>
        </is>
      </c>
      <c r="F36" s="4" t="n">
        <v>1</v>
      </c>
      <c r="G36" s="4" t="inlineStr">
        <is>
          <t>{"cash": 100000, "debt": 0, "dilution": 0}</t>
        </is>
      </c>
      <c r="H36" s="4" t="n"/>
      <c r="I36" s="4" t="n"/>
      <c r="J36" s="4" t="n"/>
      <c r="K36" s="4" t="n"/>
      <c r="L36" s="4" t="n">
        <v>-100000</v>
      </c>
      <c r="M36" s="12" t="inlineStr">
        <is>
          <t>Y</t>
        </is>
      </c>
      <c r="N36" s="4" t="inlineStr">
        <is>
          <t>Information has a price. Reveals next round's drift DIRECTION only (never magnitude), so timing a raise, an exit, or a loan stops being a blind guess.</t>
        </is>
      </c>
      <c r="O36" s="4" t="inlineStr">
        <is>
          <t>A little birdie. The little birdie charges a fee.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14" customWidth="1" min="2" max="2"/>
  </cols>
  <sheetData>
    <row r="1">
      <c r="A1" s="1" t="inlineStr">
        <is>
          <t>Sim-check (floor strategy, N=5000 seeded runs)</t>
        </is>
      </c>
    </row>
    <row r="3">
      <c r="A3" s="10" t="inlineStr">
        <is>
          <t>Verdict</t>
        </is>
      </c>
      <c r="B3" s="4" t="inlineStr">
        <is>
          <t>WINNABLE-BUT-TIGHT (floor only)</t>
        </is>
      </c>
    </row>
    <row r="5">
      <c r="A5" s="3" t="inlineStr">
        <is>
          <t>Metric</t>
        </is>
      </c>
      <c r="B5" s="3" t="inlineStr">
        <is>
          <t>Value</t>
        </is>
      </c>
    </row>
    <row r="6">
      <c r="A6" s="4" t="inlineStr">
        <is>
          <t>Floor overall win rate</t>
        </is>
      </c>
      <c r="B6" s="13" t="n">
        <v>0.402</v>
      </c>
    </row>
    <row r="7">
      <c r="A7" s="4" t="inlineStr">
        <is>
          <t>Floor bankruptcy rate</t>
        </is>
      </c>
      <c r="B7" s="13" t="n">
        <v>0</v>
      </c>
    </row>
    <row r="8">
      <c r="A8" s="4" t="inlineStr">
        <is>
          <t>T1 clear %</t>
        </is>
      </c>
      <c r="B8" s="13" t="n">
        <v>0.773</v>
      </c>
    </row>
    <row r="9">
      <c r="A9" s="4" t="inlineStr">
        <is>
          <t>T2 clear %</t>
        </is>
      </c>
      <c r="B9" s="13" t="n">
        <v>0.456</v>
      </c>
    </row>
    <row r="10">
      <c r="A10" s="4" t="inlineStr">
        <is>
          <t>T3 clear %</t>
        </is>
      </c>
      <c r="B10" s="13" t="n">
        <v>0.41</v>
      </c>
    </row>
    <row r="11">
      <c r="A11" s="4" t="inlineStr">
        <is>
          <t>T4 clear %</t>
        </is>
      </c>
      <c r="B11" s="13" t="n">
        <v>0.402</v>
      </c>
    </row>
    <row r="12">
      <c r="A12" s="4" t="inlineStr">
        <is>
          <t>Greedy win rate</t>
        </is>
      </c>
      <c r="B12" s="13" t="n">
        <v>0.734</v>
      </c>
    </row>
    <row r="13">
      <c r="A13" s="4" t="inlineStr">
        <is>
          <t>Greedy bankruptcy rate</t>
        </is>
      </c>
      <c r="B13" s="13" t="n">
        <v>0.09</v>
      </c>
    </row>
    <row r="15">
      <c r="A15" s="2" t="inlineStr">
        <is>
          <t>Scope</t>
        </is>
      </c>
      <c r="B15" s="2" t="inlineStr">
        <is>
          <t>FLOOR-ONLY smoke test: organic growth + lever-to-target + reinvest + market-ride. Does NOT model arbitrage, synergy, exits, decay, PLAYS, or crunch-disabled financing.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8" customWidth="1" min="2" max="2"/>
    <col width="16" customWidth="1" min="3" max="3"/>
  </cols>
  <sheetData>
    <row r="1">
      <c r="A1" s="1" t="inlineStr">
        <is>
          <t>Live model — edit the blue inputs, watch Net Worth recompute</t>
        </is>
      </c>
    </row>
    <row r="2">
      <c r="A2" s="2" t="inlineStr">
        <is>
          <t>Real in-cell formulas mirror resolver.dart. Single-venture worked example.</t>
        </is>
      </c>
    </row>
    <row r="4">
      <c r="A4" s="3" t="inlineStr">
        <is>
          <t>Input (blue = editable)</t>
        </is>
      </c>
      <c r="B4" s="3" t="inlineStr">
        <is>
          <t>Raw value</t>
        </is>
      </c>
      <c r="C4" s="3" t="inlineStr">
        <is>
          <t>Display</t>
        </is>
      </c>
    </row>
    <row r="5">
      <c r="A5" s="4" t="inlineStr">
        <is>
          <t>EBITDA (cents)</t>
        </is>
      </c>
      <c r="B5" s="5" t="n">
        <v>600000</v>
      </c>
    </row>
    <row r="6">
      <c r="A6" s="4" t="inlineStr">
        <is>
          <t>Multiple (milli x1000)</t>
        </is>
      </c>
      <c r="B6" s="5" t="n">
        <v>6000</v>
      </c>
    </row>
    <row r="7">
      <c r="A7" s="4" t="inlineStr">
        <is>
          <t>Net Debt (cents)</t>
        </is>
      </c>
      <c r="B7" s="5" t="n">
        <v>0</v>
      </c>
    </row>
    <row r="8">
      <c r="A8" s="4" t="inlineStr">
        <is>
          <t>Ownership (bp x10000)</t>
        </is>
      </c>
      <c r="B8" s="5" t="n">
        <v>10000</v>
      </c>
    </row>
    <row r="9">
      <c r="A9" s="4" t="inlineStr">
        <is>
          <t>Cash (cents)</t>
        </is>
      </c>
      <c r="B9" s="5" t="n">
        <v>2000000</v>
      </c>
    </row>
    <row r="11">
      <c r="A11" s="10" t="inlineStr">
        <is>
          <t>Derived (black = formula)</t>
        </is>
      </c>
    </row>
    <row r="12">
      <c r="A12" s="4" t="inlineStr">
        <is>
          <t>Enterprise Value = trunc(EBITDA*Mult/1000)</t>
        </is>
      </c>
      <c r="B12" s="4">
        <f>TRUNC(B5*B6/1000)</f>
        <v/>
      </c>
      <c r="C12" s="14">
        <f>B12/100</f>
        <v/>
      </c>
    </row>
    <row r="13">
      <c r="A13" s="4" t="inlineStr">
        <is>
          <t>Equity = EV - NetDebt</t>
        </is>
      </c>
      <c r="B13" s="4">
        <f>B12-B7</f>
        <v/>
      </c>
      <c r="C13" s="14">
        <f>B13/100</f>
        <v/>
      </c>
    </row>
    <row r="14">
      <c r="A14" s="4" t="inlineStr">
        <is>
          <t>Net Worth = trunc(Own*Equity/10000)+Cash</t>
        </is>
      </c>
      <c r="B14" s="4">
        <f>TRUNC(B8*B13/10000)+B9</f>
        <v/>
      </c>
      <c r="C14" s="14">
        <f>B14/100</f>
        <v/>
      </c>
    </row>
    <row r="15">
      <c r="A15" s="4" t="inlineStr">
        <is>
          <t>Interest @14% = trunc(0.14*NetDebt)</t>
        </is>
      </c>
      <c r="B15" s="4">
        <f>TRUNC(0.14*B7)</f>
        <v/>
      </c>
      <c r="C15" s="14">
        <f>B15/100</f>
        <v/>
      </c>
    </row>
    <row r="16">
      <c r="A16" s="4" t="inlineStr">
        <is>
          <t>Bankrupt? (Cash-Interest &lt; 0)</t>
        </is>
      </c>
      <c r="B16" s="4">
        <f>IF(B9-TRUNC(0.14*B7)&lt;0,"YES","no")</f>
        <v/>
      </c>
    </row>
    <row r="18">
      <c r="A18" s="2" t="inlineStr">
        <is>
          <t>Seed Net Worth should read $56,000 with default inputs.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2026-06-06T09:04:22Z</dcterms:created>
  <dcterms:modified xsi:type="dcterms:W3CDTF">2026-06-06T09:04:22Z</dcterms:modified>
</cp:coreProperties>
</file>